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Justin\Documents\GitHub\DecisionMaking\Dashboards\dashCEO\"/>
    </mc:Choice>
  </mc:AlternateContent>
  <xr:revisionPtr revIDLastSave="0" documentId="13_ncr:1_{83CE04BB-1A7F-4AF7-AB4A-7DFB6424CD7A}" xr6:coauthVersionLast="45" xr6:coauthVersionMax="45" xr10:uidLastSave="{00000000-0000-0000-0000-000000000000}"/>
  <bookViews>
    <workbookView xWindow="2925" yWindow="300" windowWidth="22050" windowHeight="11385" xr2:uid="{059BF8C9-70D8-471F-9EF4-0907CCE87BE7}"/>
  </bookViews>
  <sheets>
    <sheet name="ceoDASH" sheetId="1" r:id="rId1"/>
    <sheet name="ceoSubs" sheetId="2" r:id="rId2"/>
    <sheet name="ceoIncomeStatement" sheetId="3" r:id="rId3"/>
    <sheet name="ceoBalanceSheets" sheetId="4" r:id="rId4"/>
    <sheet name="ceoCashFlow" sheetId="5" r:id="rId5"/>
    <sheet name="ceoRevByRegio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7" i="6" l="1"/>
  <c r="M7" i="6" s="1"/>
  <c r="N7" i="6" s="1"/>
  <c r="O46" i="5"/>
  <c r="N46" i="5"/>
  <c r="M46" i="5"/>
  <c r="K46" i="5"/>
  <c r="J46" i="5"/>
  <c r="I46" i="5"/>
  <c r="H46" i="5"/>
  <c r="S45" i="5"/>
  <c r="Q45" i="5"/>
  <c r="L45" i="5"/>
  <c r="P44" i="5"/>
  <c r="P46" i="5" s="1"/>
  <c r="L44" i="5"/>
  <c r="L46" i="5" s="1"/>
  <c r="S41" i="5"/>
  <c r="R41" i="5"/>
  <c r="P41" i="5"/>
  <c r="O41" i="5"/>
  <c r="N41" i="5"/>
  <c r="M41" i="5"/>
  <c r="I41" i="5"/>
  <c r="H41" i="5"/>
  <c r="L40" i="5"/>
  <c r="J40" i="5"/>
  <c r="J41" i="5" s="1"/>
  <c r="K40" i="5" s="1"/>
  <c r="K41" i="5" s="1"/>
  <c r="T39" i="5"/>
  <c r="Q39" i="5"/>
  <c r="L39" i="5"/>
  <c r="L41" i="5" s="1"/>
  <c r="Q40" i="5" s="1"/>
  <c r="T38" i="5"/>
  <c r="Q38" i="5"/>
  <c r="L38" i="5"/>
  <c r="S36" i="5"/>
  <c r="R36" i="5"/>
  <c r="P36" i="5"/>
  <c r="O36" i="5"/>
  <c r="N36" i="5"/>
  <c r="M36" i="5"/>
  <c r="K36" i="5"/>
  <c r="J36" i="5"/>
  <c r="I36" i="5"/>
  <c r="H36" i="5"/>
  <c r="T35" i="5"/>
  <c r="Q35" i="5"/>
  <c r="L35" i="5"/>
  <c r="T34" i="5"/>
  <c r="Q34" i="5"/>
  <c r="L34" i="5"/>
  <c r="T33" i="5"/>
  <c r="Q33" i="5"/>
  <c r="L33" i="5"/>
  <c r="T32" i="5"/>
  <c r="T36" i="5" s="1"/>
  <c r="Q32" i="5"/>
  <c r="Q36" i="5" s="1"/>
  <c r="L32" i="5"/>
  <c r="L36" i="5" s="1"/>
  <c r="S30" i="5"/>
  <c r="R30" i="5"/>
  <c r="R45" i="5" s="1"/>
  <c r="T45" i="5" s="1"/>
  <c r="P30" i="5"/>
  <c r="O30" i="5"/>
  <c r="N30" i="5"/>
  <c r="M30" i="5"/>
  <c r="K30" i="5"/>
  <c r="J30" i="5"/>
  <c r="I30" i="5"/>
  <c r="H30" i="5"/>
  <c r="T29" i="5"/>
  <c r="Q29" i="5"/>
  <c r="L29" i="5"/>
  <c r="T28" i="5"/>
  <c r="T30" i="5" s="1"/>
  <c r="Q28" i="5"/>
  <c r="Q30" i="5" s="1"/>
  <c r="L28" i="5"/>
  <c r="L30" i="5" s="1"/>
  <c r="S26" i="5"/>
  <c r="S44" i="5" s="1"/>
  <c r="S46" i="5" s="1"/>
  <c r="R26" i="5"/>
  <c r="R44" i="5" s="1"/>
  <c r="P26" i="5"/>
  <c r="O26" i="5"/>
  <c r="N26" i="5"/>
  <c r="M26" i="5"/>
  <c r="K26" i="5"/>
  <c r="J26" i="5"/>
  <c r="I26" i="5"/>
  <c r="H26" i="5"/>
  <c r="T25" i="5"/>
  <c r="Q25" i="5"/>
  <c r="L25" i="5"/>
  <c r="T24" i="5"/>
  <c r="Q24" i="5"/>
  <c r="L24" i="5"/>
  <c r="T23" i="5"/>
  <c r="Q23" i="5"/>
  <c r="L23" i="5"/>
  <c r="T22" i="5"/>
  <c r="Q22" i="5"/>
  <c r="L22" i="5"/>
  <c r="T21" i="5"/>
  <c r="Q21" i="5"/>
  <c r="L21" i="5"/>
  <c r="T19" i="5"/>
  <c r="Q19" i="5"/>
  <c r="L19" i="5"/>
  <c r="T18" i="5"/>
  <c r="Q18" i="5"/>
  <c r="L18" i="5"/>
  <c r="T17" i="5"/>
  <c r="Q17" i="5"/>
  <c r="L17" i="5"/>
  <c r="T16" i="5"/>
  <c r="Q16" i="5"/>
  <c r="L16" i="5"/>
  <c r="T15" i="5"/>
  <c r="Q15" i="5"/>
  <c r="L15" i="5"/>
  <c r="T14" i="5"/>
  <c r="Q14" i="5"/>
  <c r="L14" i="5"/>
  <c r="T13" i="5"/>
  <c r="Q13" i="5"/>
  <c r="L13" i="5"/>
  <c r="T12" i="5"/>
  <c r="Q12" i="5"/>
  <c r="L12" i="5"/>
  <c r="T9" i="5"/>
  <c r="T26" i="5" s="1"/>
  <c r="Q9" i="5"/>
  <c r="Q26" i="5" s="1"/>
  <c r="L9" i="5"/>
  <c r="L26" i="5" s="1"/>
  <c r="P34" i="4"/>
  <c r="O34" i="4"/>
  <c r="N34" i="4"/>
  <c r="M34" i="4"/>
  <c r="L34" i="4"/>
  <c r="K34" i="4"/>
  <c r="J34" i="4"/>
  <c r="I34" i="4"/>
  <c r="H34" i="4"/>
  <c r="G34" i="4"/>
  <c r="L29" i="4"/>
  <c r="L35" i="4" s="1"/>
  <c r="K29" i="4"/>
  <c r="K35" i="4" s="1"/>
  <c r="P25" i="4"/>
  <c r="P29" i="4" s="1"/>
  <c r="P35" i="4" s="1"/>
  <c r="O25" i="4"/>
  <c r="O29" i="4" s="1"/>
  <c r="O35" i="4" s="1"/>
  <c r="N25" i="4"/>
  <c r="N29" i="4" s="1"/>
  <c r="N35" i="4" s="1"/>
  <c r="M25" i="4"/>
  <c r="M29" i="4" s="1"/>
  <c r="M35" i="4" s="1"/>
  <c r="L25" i="4"/>
  <c r="K25" i="4"/>
  <c r="J25" i="4"/>
  <c r="J29" i="4" s="1"/>
  <c r="J35" i="4" s="1"/>
  <c r="I25" i="4"/>
  <c r="I29" i="4" s="1"/>
  <c r="I35" i="4" s="1"/>
  <c r="H25" i="4"/>
  <c r="H29" i="4" s="1"/>
  <c r="H35" i="4" s="1"/>
  <c r="G25" i="4"/>
  <c r="G29" i="4" s="1"/>
  <c r="G35" i="4" s="1"/>
  <c r="P17" i="4"/>
  <c r="O17" i="4"/>
  <c r="H17" i="4"/>
  <c r="G17" i="4"/>
  <c r="P13" i="4"/>
  <c r="O13" i="4"/>
  <c r="N13" i="4"/>
  <c r="N17" i="4" s="1"/>
  <c r="M13" i="4"/>
  <c r="M17" i="4" s="1"/>
  <c r="L13" i="4"/>
  <c r="L17" i="4" s="1"/>
  <c r="K13" i="4"/>
  <c r="K17" i="4" s="1"/>
  <c r="J13" i="4"/>
  <c r="J17" i="4" s="1"/>
  <c r="I13" i="4"/>
  <c r="I17" i="4" s="1"/>
  <c r="H13" i="4"/>
  <c r="G13" i="4"/>
  <c r="O14" i="3"/>
  <c r="O18" i="3" s="1"/>
  <c r="O20" i="3" s="1"/>
  <c r="N14" i="3"/>
  <c r="M14" i="3"/>
  <c r="M18" i="3" s="1"/>
  <c r="M20" i="3" s="1"/>
  <c r="L14" i="3"/>
  <c r="L18" i="3" s="1"/>
  <c r="L20" i="3" s="1"/>
  <c r="K14" i="3"/>
  <c r="K18" i="3" s="1"/>
  <c r="K20" i="3" s="1"/>
  <c r="J14" i="3"/>
  <c r="I14" i="3"/>
  <c r="I18" i="3" s="1"/>
  <c r="I20" i="3" s="1"/>
  <c r="H14" i="3"/>
  <c r="H18" i="3" s="1"/>
  <c r="H20" i="3" s="1"/>
  <c r="G14" i="3"/>
  <c r="G18" i="3" s="1"/>
  <c r="G20" i="3" s="1"/>
  <c r="F14" i="3"/>
  <c r="F18" i="3" s="1"/>
  <c r="K7" i="3"/>
  <c r="L7" i="3" s="1"/>
  <c r="N18" i="3" l="1"/>
  <c r="N20" i="3" s="1"/>
  <c r="Q41" i="5"/>
  <c r="T40" i="5" s="1"/>
  <c r="T41" i="5" s="1"/>
  <c r="R46" i="5"/>
  <c r="T44" i="5"/>
  <c r="T46" i="5" s="1"/>
  <c r="Q44" i="5"/>
  <c r="Q46" i="5" s="1"/>
  <c r="F20" i="3"/>
  <c r="J18" i="3"/>
  <c r="J20" i="3" l="1"/>
  <c r="A2" i="2" l="1" a="1"/>
  <c r="A2" i="2" s="1"/>
  <c r="C3" i="2"/>
  <c r="C4"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<sst xmlns="http://schemas.openxmlformats.org/spreadsheetml/2006/main" count="193" uniqueCount="118">
  <si>
    <t>Num of Subs per day</t>
  </si>
  <si>
    <t>Number of Subscribers (in thousands)</t>
  </si>
  <si>
    <t>Day</t>
  </si>
  <si>
    <t>Netflix, Inc.</t>
  </si>
  <si>
    <t>Consolidated Statements of Operations</t>
  </si>
  <si>
    <t>(unaudited)</t>
  </si>
  <si>
    <t>(in thousands, except per share data)</t>
  </si>
  <si>
    <t>Three Months Ended</t>
  </si>
  <si>
    <t>Twelve Months Ended</t>
  </si>
  <si>
    <t>Six Months Ended</t>
  </si>
  <si>
    <t>March 31,</t>
  </si>
  <si>
    <t>June 30,</t>
  </si>
  <si>
    <t xml:space="preserve">September 30, </t>
  </si>
  <si>
    <t>December 31,</t>
  </si>
  <si>
    <t>Revenues</t>
  </si>
  <si>
    <t>Cost of revenues</t>
  </si>
  <si>
    <t>Marketing</t>
  </si>
  <si>
    <t>Technology and development</t>
  </si>
  <si>
    <t>General and administrative</t>
  </si>
  <si>
    <t>Operating income</t>
  </si>
  <si>
    <t>Other income (expense):</t>
  </si>
  <si>
    <t xml:space="preserve">Interest expense </t>
  </si>
  <si>
    <t>Interest and other income (expense)</t>
  </si>
  <si>
    <t>Income before income taxes</t>
  </si>
  <si>
    <t>Provision for (benefit from) income taxes</t>
  </si>
  <si>
    <t>Net income</t>
  </si>
  <si>
    <t>Earnings per share:</t>
  </si>
  <si>
    <t>Basic</t>
  </si>
  <si>
    <t>Diluted</t>
  </si>
  <si>
    <t>Weighted-average common shares outstanding:</t>
  </si>
  <si>
    <t>Consolidated Balance Sheets</t>
  </si>
  <si>
    <t>(in thousands)</t>
  </si>
  <si>
    <t>Assets</t>
  </si>
  <si>
    <t>Current assets:</t>
  </si>
  <si>
    <t>Cash and cash equivalents</t>
  </si>
  <si>
    <t>Current content assets, net</t>
  </si>
  <si>
    <t>Other current assets</t>
  </si>
  <si>
    <t>Total current assets</t>
  </si>
  <si>
    <t>Non-current content assets, net</t>
  </si>
  <si>
    <t>Property and equipment, net</t>
  </si>
  <si>
    <t>Other non-current assets</t>
  </si>
  <si>
    <t>Total assets</t>
  </si>
  <si>
    <t>Liabilities and Stockholders' Equity</t>
  </si>
  <si>
    <t>Current liabilities:</t>
  </si>
  <si>
    <t>Current content liabilities</t>
  </si>
  <si>
    <t>Accounts payable</t>
  </si>
  <si>
    <t>Accrued expenses and other liabilities</t>
  </si>
  <si>
    <t>Deferred revenue</t>
  </si>
  <si>
    <t>Short-term debt</t>
  </si>
  <si>
    <t>Total current liabilities</t>
  </si>
  <si>
    <t>Non-current content liabilities</t>
  </si>
  <si>
    <t>Long-term debt</t>
  </si>
  <si>
    <t>Other non-current liabilities</t>
  </si>
  <si>
    <t>Total liabilities</t>
  </si>
  <si>
    <t>Stockholders' equity:</t>
  </si>
  <si>
    <t>Common stock</t>
  </si>
  <si>
    <t>Accumulated other comprehensive income (loss)</t>
  </si>
  <si>
    <t>Retained earnings</t>
  </si>
  <si>
    <t>Total stockholders' equity</t>
  </si>
  <si>
    <t>Total liabilities and stockholders' equity</t>
  </si>
  <si>
    <t>Consolidated Statements of Cash Flows</t>
  </si>
  <si>
    <t>September 30,</t>
  </si>
  <si>
    <t>Cash flows from operating activities:</t>
  </si>
  <si>
    <t>Adjustments to reconcile net income to net cash</t>
  </si>
  <si>
    <t>provided by (used in) operating activities:</t>
  </si>
  <si>
    <t>Additions to content assets</t>
  </si>
  <si>
    <t>Change in content liabilities</t>
  </si>
  <si>
    <t>Amortization of content assets</t>
  </si>
  <si>
    <t>Depreciation and amortization of property, equipment and intangibles</t>
  </si>
  <si>
    <t>Stock-based compensation expense</t>
  </si>
  <si>
    <t>Other non-cash items</t>
  </si>
  <si>
    <t>Foreign currency remeasurement loss (gain) on debt</t>
  </si>
  <si>
    <t>Deferred taxes</t>
  </si>
  <si>
    <t>Changes in operating assets and liabilities:</t>
  </si>
  <si>
    <t>Other non-current assets and liabilities</t>
  </si>
  <si>
    <t>Net cash provided by (used in) operating activities</t>
  </si>
  <si>
    <t>Cash flows from investing activities:</t>
  </si>
  <si>
    <t>Purchases of property and equipment</t>
  </si>
  <si>
    <t>Change in other assets</t>
  </si>
  <si>
    <t>Net cash used in investing activities</t>
  </si>
  <si>
    <t>Cash flows from financing activities:</t>
  </si>
  <si>
    <t>Proceeds from issuance of debt</t>
  </si>
  <si>
    <t>Debt issuance costs</t>
  </si>
  <si>
    <t>Proceeds from issuance of common stock</t>
  </si>
  <si>
    <t>Other financing activities</t>
  </si>
  <si>
    <t>Net cash provided by financing activities</t>
  </si>
  <si>
    <t>Effect of exchange rate changes on cash, cash equivalents, and restricted cash</t>
  </si>
  <si>
    <t>Net increase (decrease) in cash, cash equivalents, and restricted cash</t>
  </si>
  <si>
    <t>Cash, cash equivalents, and restricted cash beginning of period</t>
  </si>
  <si>
    <t xml:space="preserve"> Cash, cash equivalents, and restricted cash end of period</t>
  </si>
  <si>
    <t>Non-GAAP free cash flow reconciliation:</t>
  </si>
  <si>
    <t>Non-GAAP free cash flow</t>
  </si>
  <si>
    <t>Streaming Revenue and Membership Information by Region</t>
  </si>
  <si>
    <t>(in thousands, except for average monthly revenue per paying membership and percentages)</t>
  </si>
  <si>
    <t>As of / Three Months Ended</t>
  </si>
  <si>
    <t>United States and Canada (UCAN)</t>
  </si>
  <si>
    <t>Revenues (1)</t>
  </si>
  <si>
    <t>Paid net membership additions (losses)</t>
  </si>
  <si>
    <t>Paid memberships at end of period</t>
  </si>
  <si>
    <t>Average paying memberships</t>
  </si>
  <si>
    <t>Average monthly revenue per paying membership</t>
  </si>
  <si>
    <t>% change as compared to prior-year period</t>
  </si>
  <si>
    <t>Constant currency % change as compared to prior-year period*</t>
  </si>
  <si>
    <t>Europe, Middle East and Africa (EMEA)</t>
  </si>
  <si>
    <t>Paid net membership additions</t>
  </si>
  <si>
    <t>Latin America (LATAM)</t>
  </si>
  <si>
    <t>Asia-Pacific (APAC)</t>
  </si>
  <si>
    <t xml:space="preserve">(1) Excludes DVD revenues of $366 million, $297 million, $62 million and $126 million for the years ended December 31, 2018 and 2019, and the three and six months ended June 30, 2020, respectively.  Total US revenues for the years ended December 31, 2018 and 2019, and the three and six months ended June 30, 2020 were $8.0 billion, $9.5 billion, $2.7 billion and $5.2 billion, respectively. </t>
  </si>
  <si>
    <t>* The company believes that constant currency information is useful in analyzing the underlying trends in average monthly revenue per paying membership.  In order to exclude the effect of foreign currency rate fluctuations on average monthly revenue per paying membership, the Company estimates the current period revenue assuming foreign exchange rates had remained constant with foreign exchange rates from each of the corresponding months of the prior-year period.</t>
  </si>
  <si>
    <t>Regions</t>
  </si>
  <si>
    <t>Europe, Middle East, and Africa (EMEA)</t>
  </si>
  <si>
    <t>Global</t>
  </si>
  <si>
    <t>Region</t>
  </si>
  <si>
    <t>Date Range</t>
  </si>
  <si>
    <t>Start Date</t>
  </si>
  <si>
    <t>End Date</t>
  </si>
  <si>
    <t>Subs Converted</t>
  </si>
  <si>
    <t>Monthly 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</si>
</sst>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0.00_);[Red]\(&quot;$&quot;#,##0.00\)"/>
    <numFmt numFmtId="44" formatCode="_(&quot;$&quot;* #,##0.00_);_(&quot;$&quot;* \(#,##0.00\);_(&quot;$&quot;* &quot;-&quot;??_);_(@_)"/>
    <numFmt numFmtId="43" formatCode="_(* #,##0.00_);_(* \(#,##0.00\);_(* &quot;-&quot;??_);_(@_)"/>
    <numFmt numFmtId="170" formatCode="yyyy\-mm\-dd;@"/>
    <numFmt numFmtId="171" formatCode="#,##0.0\ ;\(#,##0.0\)"/>
    <numFmt numFmtId="172" formatCode="&quot;$&quot;#,##0\ ;\(&quot;$&quot;#,##0.0\)"/>
    <numFmt numFmtId="173" formatCode="&quot;$&quot;* #,###\ ;&quot;$&quot;* \(#,###\);&quot;$&quot;* \-\ "/>
    <numFmt numFmtId="174" formatCode="_(&quot;$&quot;* #,##0_);_(&quot;$&quot;* \(#,##0\);_(&quot;$&quot;* &quot;-&quot;??_);_(@_)"/>
    <numFmt numFmtId="175" formatCode="_(* #,##0_);_(* \(#,##0\);_(* &quot;-&quot;??_);_(@_)"/>
    <numFmt numFmtId="176" formatCode="#,##0\ ;\(#,##0.0\)"/>
    <numFmt numFmtId="177" formatCode="&quot;$&quot;* #,###.00\ ;&quot;$&quot;* \(#,###.00\);&quot;$&quot;* \-\ "/>
    <numFmt numFmtId="178" formatCode="&quot;$&quot;#,##0"/>
    <numFmt numFmtId="179" formatCode="_([$€-2]* #,##0.00_);_([$€-2]* \(#,##0.00\);_([$€-2]* &quot;-&quot;??_)"/>
    <numFmt numFmtId="180" formatCode="0.0%;[Red]\(0.0%\)"/>
    <numFmt numFmtId="181" formatCode="mm/dd/yy;@"/>
  </numFmts>
  <fonts count="24" x14ac:knownFonts="1">
    <font>
      <sz val="11"/>
      <color theme="1"/>
      <name val="Calibri"/>
      <family val="2"/>
      <scheme val="minor"/>
    </font>
    <font>
      <sz val="11"/>
      <color theme="1"/>
      <name val="Calibri"/>
      <family val="2"/>
      <scheme val="minor"/>
    </font>
    <font>
      <i/>
      <sz val="11"/>
      <color rgb="FF7F7F7F"/>
      <name val="Calibri"/>
      <family val="2"/>
      <scheme val="minor"/>
    </font>
    <font>
      <i/>
      <sz val="20"/>
      <color theme="0"/>
      <name val="Calibri"/>
      <family val="2"/>
      <scheme val="minor"/>
    </font>
    <font>
      <sz val="10"/>
      <name val="Helv"/>
    </font>
    <font>
      <b/>
      <sz val="12"/>
      <name val="Calibri"/>
      <family val="2"/>
      <scheme val="minor"/>
    </font>
    <font>
      <b/>
      <sz val="11"/>
      <name val="Calibri"/>
      <family val="2"/>
      <scheme val="minor"/>
    </font>
    <font>
      <sz val="10"/>
      <name val="Arial"/>
      <family val="2"/>
    </font>
    <font>
      <sz val="10"/>
      <name val="Calibri"/>
      <family val="2"/>
      <scheme val="minor"/>
    </font>
    <font>
      <b/>
      <u/>
      <sz val="10"/>
      <name val="Calibri"/>
      <family val="2"/>
      <scheme val="minor"/>
    </font>
    <font>
      <b/>
      <sz val="10"/>
      <name val="Calibri"/>
      <family val="2"/>
      <scheme val="minor"/>
    </font>
    <font>
      <sz val="10"/>
      <name val="Calibri"/>
      <family val="2"/>
    </font>
    <font>
      <sz val="10"/>
      <color rgb="FF222222"/>
      <name val="Calibri"/>
      <family val="2"/>
      <scheme val="minor"/>
    </font>
    <font>
      <b/>
      <sz val="10"/>
      <color indexed="8"/>
      <name val="Calibri"/>
      <family val="2"/>
      <scheme val="minor"/>
    </font>
    <font>
      <sz val="10"/>
      <color indexed="8"/>
      <name val="Calibri"/>
      <family val="2"/>
      <scheme val="minor"/>
    </font>
    <font>
      <sz val="10"/>
      <color indexed="12"/>
      <name val="Calibri"/>
      <family val="2"/>
      <scheme val="minor"/>
    </font>
    <font>
      <b/>
      <i/>
      <sz val="10"/>
      <color indexed="8"/>
      <name val="Calibri"/>
      <family val="2"/>
      <scheme val="minor"/>
    </font>
    <font>
      <b/>
      <i/>
      <sz val="10"/>
      <name val="Calibri"/>
      <family val="2"/>
      <scheme val="minor"/>
    </font>
    <font>
      <sz val="10"/>
      <color indexed="17"/>
      <name val="Calibri"/>
      <family val="2"/>
      <scheme val="minor"/>
    </font>
    <font>
      <sz val="10"/>
      <name val="Tms Rmn"/>
    </font>
    <font>
      <i/>
      <sz val="11"/>
      <color theme="0"/>
      <name val="Calibri"/>
      <family val="2"/>
      <scheme val="minor"/>
    </font>
    <font>
      <b/>
      <i/>
      <u/>
      <sz val="24"/>
      <color theme="0"/>
      <name val="Calibri"/>
      <family val="2"/>
      <scheme val="minor"/>
    </font>
    <font>
      <i/>
      <sz val="14"/>
      <color theme="0"/>
      <name val="Calibri"/>
      <family val="2"/>
      <scheme val="minor"/>
    </font>
    <font>
      <i/>
      <u/>
      <sz val="14"/>
      <color theme="0"/>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249977111117893"/>
        <bgColor indexed="64"/>
      </patternFill>
    </fill>
    <fill>
      <patternFill patternType="solid">
        <fgColor indexed="9"/>
        <bgColor indexed="64"/>
      </patternFill>
    </fill>
  </fills>
  <borders count="6">
    <border>
      <left/>
      <right/>
      <top/>
      <bottom/>
      <diagonal/>
    </border>
    <border>
      <left/>
      <right/>
      <top/>
      <bottom style="thin">
        <color auto="1"/>
      </bottom>
      <diagonal/>
    </border>
    <border>
      <left/>
      <right/>
      <top style="thin">
        <color auto="1"/>
      </top>
      <bottom/>
      <diagonal/>
    </border>
    <border>
      <left/>
      <right/>
      <top style="thin">
        <color auto="1"/>
      </top>
      <bottom style="medium">
        <color auto="1"/>
      </bottom>
      <diagonal/>
    </border>
    <border>
      <left/>
      <right/>
      <top/>
      <bottom style="thin">
        <color rgb="FF000000"/>
      </bottom>
      <diagonal/>
    </border>
    <border>
      <left/>
      <right/>
      <top style="thin">
        <color auto="1"/>
      </top>
      <bottom style="thin">
        <color auto="1"/>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4" fillId="0" borderId="0"/>
    <xf numFmtId="0" fontId="7" fillId="0" borderId="0"/>
    <xf numFmtId="0" fontId="4" fillId="0" borderId="0"/>
    <xf numFmtId="9" fontId="7" fillId="0" borderId="0" applyFont="0" applyFill="0" applyBorder="0" applyAlignment="0" applyProtection="0"/>
    <xf numFmtId="9" fontId="1" fillId="0" borderId="0" applyFont="0" applyFill="0" applyBorder="0" applyAlignment="0" applyProtection="0"/>
    <xf numFmtId="37" fontId="19" fillId="0" borderId="0"/>
  </cellStyleXfs>
  <cellXfs count="121">
    <xf numFmtId="0" fontId="0" fillId="0" borderId="0" xfId="0"/>
    <xf numFmtId="0" fontId="2" fillId="2" borderId="0" xfId="3" applyFill="1"/>
    <xf numFmtId="0" fontId="0" fillId="2" borderId="0" xfId="0" applyFill="1"/>
    <xf numFmtId="0" fontId="0" fillId="3" borderId="0" xfId="0" applyFill="1"/>
    <xf numFmtId="0" fontId="2" fillId="2" borderId="0" xfId="3" applyFill="1" applyAlignment="1">
      <alignment horizontal="center"/>
    </xf>
    <xf numFmtId="0" fontId="2" fillId="4" borderId="0" xfId="3" applyFill="1"/>
    <xf numFmtId="0" fontId="0" fillId="4" borderId="0" xfId="0" applyFill="1"/>
    <xf numFmtId="0" fontId="2" fillId="4" borderId="0" xfId="3" applyFill="1" applyAlignment="1">
      <alignment horizontal="center"/>
    </xf>
    <xf numFmtId="0" fontId="3" fillId="4" borderId="0" xfId="3" applyFont="1" applyFill="1" applyAlignment="1">
      <alignment horizontal="left"/>
    </xf>
    <xf numFmtId="170" fontId="0" fillId="0" borderId="0" xfId="0" applyNumberFormat="1"/>
    <xf numFmtId="0" fontId="5" fillId="0" borderId="0" xfId="4" applyFont="1"/>
    <xf numFmtId="0" fontId="6" fillId="0" borderId="0" xfId="4" applyFont="1"/>
    <xf numFmtId="0" fontId="8" fillId="0" borderId="0" xfId="5" applyFont="1"/>
    <xf numFmtId="0" fontId="8" fillId="0" borderId="0" xfId="4" applyFont="1"/>
    <xf numFmtId="171" fontId="9" fillId="0" borderId="0" xfId="4" applyNumberFormat="1" applyFont="1" applyAlignment="1">
      <alignment horizontal="center"/>
    </xf>
    <xf numFmtId="171" fontId="9" fillId="0" borderId="0" xfId="4" applyNumberFormat="1" applyFont="1" applyAlignment="1">
      <alignment horizontal="center" wrapText="1"/>
    </xf>
    <xf numFmtId="171" fontId="10" fillId="0" borderId="0" xfId="4" applyNumberFormat="1" applyFont="1" applyAlignment="1">
      <alignment horizontal="center"/>
    </xf>
    <xf numFmtId="171" fontId="10" fillId="5" borderId="0" xfId="4" applyNumberFormat="1" applyFont="1" applyFill="1" applyAlignment="1">
      <alignment horizontal="center"/>
    </xf>
    <xf numFmtId="0" fontId="9" fillId="0" borderId="0" xfId="4" applyFont="1" applyAlignment="1">
      <alignment horizontal="center"/>
    </xf>
    <xf numFmtId="0" fontId="9" fillId="5" borderId="0" xfId="4" applyFont="1" applyFill="1" applyAlignment="1">
      <alignment horizontal="center"/>
    </xf>
    <xf numFmtId="172" fontId="8" fillId="0" borderId="0" xfId="5" applyNumberFormat="1" applyFont="1"/>
    <xf numFmtId="0" fontId="10" fillId="5" borderId="0" xfId="5" applyFont="1" applyFill="1"/>
    <xf numFmtId="173" fontId="8" fillId="0" borderId="0" xfId="5" applyNumberFormat="1" applyFont="1"/>
    <xf numFmtId="174" fontId="11" fillId="0" borderId="0" xfId="2" applyNumberFormat="1" applyFont="1" applyBorder="1" applyAlignment="1">
      <alignment horizontal="right"/>
    </xf>
    <xf numFmtId="3" fontId="11" fillId="0" borderId="0" xfId="0" applyNumberFormat="1" applyFont="1" applyAlignment="1">
      <alignment horizontal="right" wrapText="1"/>
    </xf>
    <xf numFmtId="175" fontId="8" fillId="0" borderId="0" xfId="5" applyNumberFormat="1" applyFont="1"/>
    <xf numFmtId="3" fontId="11" fillId="0" borderId="1" xfId="0" applyNumberFormat="1" applyFont="1" applyBorder="1" applyAlignment="1">
      <alignment horizontal="right" wrapText="1"/>
    </xf>
    <xf numFmtId="175" fontId="8" fillId="0" borderId="2" xfId="5" applyNumberFormat="1" applyFont="1" applyBorder="1"/>
    <xf numFmtId="175" fontId="8" fillId="0" borderId="1" xfId="5" applyNumberFormat="1" applyFont="1" applyBorder="1"/>
    <xf numFmtId="174" fontId="8" fillId="0" borderId="3" xfId="2" applyNumberFormat="1" applyFont="1" applyFill="1" applyBorder="1"/>
    <xf numFmtId="176" fontId="8" fillId="0" borderId="0" xfId="5" applyNumberFormat="1" applyFont="1"/>
    <xf numFmtId="177" fontId="8" fillId="0" borderId="0" xfId="5" applyNumberFormat="1" applyFont="1"/>
    <xf numFmtId="44" fontId="8" fillId="0" borderId="0" xfId="2" applyFont="1" applyFill="1" applyBorder="1"/>
    <xf numFmtId="3" fontId="8" fillId="0" borderId="0" xfId="5" applyNumberFormat="1" applyFont="1"/>
    <xf numFmtId="0" fontId="8" fillId="0" borderId="0" xfId="4" applyFont="1" applyAlignment="1">
      <alignment horizontal="right"/>
    </xf>
    <xf numFmtId="0" fontId="12" fillId="0" borderId="0" xfId="5" applyFont="1"/>
    <xf numFmtId="0" fontId="10" fillId="0" borderId="0" xfId="4" applyFont="1"/>
    <xf numFmtId="0" fontId="8" fillId="0" borderId="0" xfId="0" applyFont="1"/>
    <xf numFmtId="178" fontId="8" fillId="0" borderId="0" xfId="0" applyNumberFormat="1" applyFont="1"/>
    <xf numFmtId="0" fontId="10" fillId="5" borderId="0" xfId="4" applyFont="1" applyFill="1" applyAlignment="1">
      <alignment horizontal="center"/>
    </xf>
    <xf numFmtId="0" fontId="10" fillId="0" borderId="0" xfId="6" applyFont="1"/>
    <xf numFmtId="0" fontId="8" fillId="0" borderId="0" xfId="6" applyFont="1"/>
    <xf numFmtId="0" fontId="10" fillId="5" borderId="0" xfId="0" applyFont="1" applyFill="1"/>
    <xf numFmtId="174" fontId="11" fillId="0" borderId="0" xfId="2" applyNumberFormat="1" applyFont="1"/>
    <xf numFmtId="174" fontId="13" fillId="5" borderId="0" xfId="2" applyNumberFormat="1" applyFont="1" applyFill="1" applyBorder="1" applyProtection="1"/>
    <xf numFmtId="175" fontId="11" fillId="0" borderId="0" xfId="0" applyNumberFormat="1" applyFont="1"/>
    <xf numFmtId="175" fontId="13" fillId="5" borderId="0" xfId="1" applyNumberFormat="1" applyFont="1" applyFill="1" applyBorder="1"/>
    <xf numFmtId="175" fontId="11" fillId="0" borderId="0" xfId="1" applyNumberFormat="1" applyFont="1" applyAlignment="1"/>
    <xf numFmtId="175" fontId="11" fillId="0" borderId="4" xfId="0" applyNumberFormat="1" applyFont="1" applyBorder="1"/>
    <xf numFmtId="175" fontId="13" fillId="5" borderId="1" xfId="1" applyNumberFormat="1" applyFont="1" applyFill="1" applyBorder="1"/>
    <xf numFmtId="175" fontId="11" fillId="0" borderId="1" xfId="1" applyNumberFormat="1" applyFont="1" applyBorder="1"/>
    <xf numFmtId="175" fontId="14" fillId="0" borderId="0" xfId="1" applyNumberFormat="1" applyFont="1" applyFill="1" applyBorder="1"/>
    <xf numFmtId="173" fontId="8" fillId="0" borderId="0" xfId="0" applyNumberFormat="1" applyFont="1"/>
    <xf numFmtId="0" fontId="8" fillId="6" borderId="0" xfId="6" applyFont="1" applyFill="1"/>
    <xf numFmtId="175" fontId="11" fillId="0" borderId="0" xfId="1" applyNumberFormat="1" applyFont="1"/>
    <xf numFmtId="174" fontId="13" fillId="0" borderId="3" xfId="2" applyNumberFormat="1" applyFont="1" applyFill="1" applyBorder="1"/>
    <xf numFmtId="174" fontId="13" fillId="5" borderId="3" xfId="2" applyNumberFormat="1" applyFont="1" applyFill="1" applyBorder="1"/>
    <xf numFmtId="175" fontId="10" fillId="0" borderId="0" xfId="0" applyNumberFormat="1" applyFont="1"/>
    <xf numFmtId="0" fontId="10" fillId="0" borderId="0" xfId="0" applyFont="1"/>
    <xf numFmtId="173" fontId="14" fillId="0" borderId="0" xfId="1" applyNumberFormat="1" applyFont="1" applyFill="1" applyBorder="1"/>
    <xf numFmtId="173" fontId="14" fillId="5" borderId="0" xfId="1" applyNumberFormat="1" applyFont="1" applyFill="1" applyBorder="1"/>
    <xf numFmtId="174" fontId="14" fillId="0" borderId="0" xfId="2" applyNumberFormat="1" applyFont="1" applyFill="1" applyBorder="1"/>
    <xf numFmtId="175" fontId="11" fillId="0" borderId="0" xfId="1" applyNumberFormat="1" applyFont="1" applyBorder="1"/>
    <xf numFmtId="175" fontId="14" fillId="0" borderId="1" xfId="1" applyNumberFormat="1" applyFont="1" applyFill="1" applyBorder="1"/>
    <xf numFmtId="175" fontId="8" fillId="0" borderId="0" xfId="0" applyNumberFormat="1" applyFont="1"/>
    <xf numFmtId="0" fontId="8" fillId="0" borderId="0" xfId="6" applyFont="1" applyAlignment="1">
      <alignment horizontal="left" wrapText="1"/>
    </xf>
    <xf numFmtId="173" fontId="13" fillId="0" borderId="0" xfId="1" applyNumberFormat="1" applyFont="1" applyFill="1" applyBorder="1"/>
    <xf numFmtId="0" fontId="8" fillId="0" borderId="0" xfId="6" quotePrefix="1" applyFont="1"/>
    <xf numFmtId="179" fontId="8" fillId="0" borderId="0" xfId="0" applyNumberFormat="1" applyFont="1"/>
    <xf numFmtId="175" fontId="8" fillId="0" borderId="0" xfId="1" applyNumberFormat="1" applyFont="1" applyFill="1" applyBorder="1"/>
    <xf numFmtId="171" fontId="9" fillId="0" borderId="0" xfId="4" applyNumberFormat="1" applyFont="1" applyAlignment="1">
      <alignment horizontal="center"/>
    </xf>
    <xf numFmtId="171" fontId="9" fillId="5" borderId="0" xfId="4" applyNumberFormat="1" applyFont="1" applyFill="1" applyAlignment="1">
      <alignment horizontal="center" wrapText="1"/>
    </xf>
    <xf numFmtId="0" fontId="9" fillId="0" borderId="0" xfId="5" applyFont="1" applyAlignment="1">
      <alignment horizontal="center"/>
    </xf>
    <xf numFmtId="175" fontId="15" fillId="0" borderId="0" xfId="1" applyNumberFormat="1" applyFont="1" applyFill="1" applyBorder="1"/>
    <xf numFmtId="1" fontId="9" fillId="5" borderId="0" xfId="4" applyNumberFormat="1" applyFont="1" applyFill="1" applyAlignment="1">
      <alignment horizontal="center"/>
    </xf>
    <xf numFmtId="175" fontId="10" fillId="0" borderId="0" xfId="1" applyNumberFormat="1" applyFont="1" applyFill="1" applyBorder="1"/>
    <xf numFmtId="173" fontId="8" fillId="0" borderId="0" xfId="1" applyNumberFormat="1" applyFont="1" applyFill="1" applyBorder="1"/>
    <xf numFmtId="174" fontId="10" fillId="5" borderId="0" xfId="2" applyNumberFormat="1" applyFont="1" applyFill="1" applyBorder="1"/>
    <xf numFmtId="175" fontId="8" fillId="0" borderId="0" xfId="1" applyNumberFormat="1" applyFont="1" applyFill="1"/>
    <xf numFmtId="175" fontId="10" fillId="5" borderId="0" xfId="1" applyNumberFormat="1" applyFont="1" applyFill="1" applyBorder="1"/>
    <xf numFmtId="175" fontId="8" fillId="0" borderId="1" xfId="1" applyNumberFormat="1" applyFont="1" applyFill="1" applyBorder="1"/>
    <xf numFmtId="175" fontId="8" fillId="0" borderId="5" xfId="1" applyNumberFormat="1" applyFont="1" applyFill="1" applyBorder="1"/>
    <xf numFmtId="175" fontId="10" fillId="5" borderId="5" xfId="1" applyNumberFormat="1" applyFont="1" applyFill="1" applyBorder="1"/>
    <xf numFmtId="175" fontId="13" fillId="0" borderId="0" xfId="1" applyNumberFormat="1" applyFont="1" applyFill="1" applyBorder="1"/>
    <xf numFmtId="173" fontId="8" fillId="0" borderId="0" xfId="6" applyNumberFormat="1" applyFont="1"/>
    <xf numFmtId="173" fontId="8" fillId="0" borderId="3" xfId="1" applyNumberFormat="1" applyFont="1" applyFill="1" applyBorder="1"/>
    <xf numFmtId="173" fontId="10" fillId="5" borderId="3" xfId="1" applyNumberFormat="1" applyFont="1" applyFill="1" applyBorder="1"/>
    <xf numFmtId="180" fontId="16" fillId="0" borderId="0" xfId="7" applyNumberFormat="1" applyFont="1" applyFill="1" applyBorder="1"/>
    <xf numFmtId="180" fontId="10" fillId="0" borderId="0" xfId="4" applyNumberFormat="1" applyFont="1"/>
    <xf numFmtId="0" fontId="10" fillId="5" borderId="0" xfId="6" applyFont="1" applyFill="1"/>
    <xf numFmtId="180" fontId="17" fillId="0" borderId="0" xfId="4" applyNumberFormat="1" applyFont="1"/>
    <xf numFmtId="177" fontId="8" fillId="0" borderId="0" xfId="6" applyNumberFormat="1" applyFont="1"/>
    <xf numFmtId="175" fontId="18" fillId="0" borderId="0" xfId="1" applyNumberFormat="1" applyFont="1" applyFill="1" applyBorder="1"/>
    <xf numFmtId="173" fontId="8" fillId="0" borderId="3" xfId="6" applyNumberFormat="1" applyFont="1" applyBorder="1"/>
    <xf numFmtId="173" fontId="10" fillId="5" borderId="3" xfId="6" applyNumberFormat="1" applyFont="1" applyFill="1" applyBorder="1"/>
    <xf numFmtId="0" fontId="8" fillId="0" borderId="0" xfId="4" applyFont="1"/>
    <xf numFmtId="0" fontId="8" fillId="0" borderId="0" xfId="5" applyFont="1"/>
    <xf numFmtId="0" fontId="9" fillId="0" borderId="0" xfId="4" applyFont="1"/>
    <xf numFmtId="0" fontId="9" fillId="0" borderId="0" xfId="4" applyFont="1" applyAlignment="1">
      <alignment horizontal="center" wrapText="1"/>
    </xf>
    <xf numFmtId="0" fontId="9" fillId="0" borderId="0" xfId="5" applyFont="1" applyAlignment="1">
      <alignment horizontal="center" wrapText="1"/>
    </xf>
    <xf numFmtId="0" fontId="10" fillId="0" borderId="0" xfId="4" applyFont="1" applyAlignment="1">
      <alignment horizontal="center"/>
    </xf>
    <xf numFmtId="179" fontId="8" fillId="0" borderId="0" xfId="5" applyNumberFormat="1" applyFont="1"/>
    <xf numFmtId="179" fontId="10" fillId="0" borderId="0" xfId="5" applyNumberFormat="1" applyFont="1"/>
    <xf numFmtId="179" fontId="17" fillId="0" borderId="0" xfId="4" applyNumberFormat="1" applyFont="1"/>
    <xf numFmtId="174" fontId="8" fillId="0" borderId="0" xfId="5" applyNumberFormat="1" applyFont="1"/>
    <xf numFmtId="2" fontId="8" fillId="0" borderId="0" xfId="5" applyNumberFormat="1" applyFont="1"/>
    <xf numFmtId="174" fontId="8" fillId="0" borderId="0" xfId="1" applyNumberFormat="1" applyFont="1" applyFill="1" applyBorder="1"/>
    <xf numFmtId="0" fontId="8" fillId="0" borderId="0" xfId="5" applyFont="1" applyAlignment="1">
      <alignment horizontal="left"/>
    </xf>
    <xf numFmtId="8" fontId="8" fillId="0" borderId="0" xfId="1" applyNumberFormat="1" applyFont="1" applyFill="1" applyBorder="1"/>
    <xf numFmtId="9" fontId="8" fillId="0" borderId="0" xfId="8" applyFont="1" applyFill="1" applyBorder="1"/>
    <xf numFmtId="179" fontId="8" fillId="0" borderId="0" xfId="4" applyNumberFormat="1" applyFont="1"/>
    <xf numFmtId="37" fontId="8" fillId="0" borderId="0" xfId="9" applyFont="1"/>
    <xf numFmtId="179" fontId="8" fillId="0" borderId="0" xfId="5" applyNumberFormat="1" applyFont="1" applyAlignment="1">
      <alignment horizontal="left"/>
    </xf>
    <xf numFmtId="179" fontId="8" fillId="0" borderId="0" xfId="5" applyNumberFormat="1" applyFont="1" applyAlignment="1">
      <alignment horizontal="left" wrapText="1"/>
    </xf>
    <xf numFmtId="179" fontId="10" fillId="0" borderId="0" xfId="5" applyNumberFormat="1" applyFont="1" applyAlignment="1">
      <alignment horizontal="left"/>
    </xf>
    <xf numFmtId="170" fontId="10" fillId="0" borderId="0" xfId="4" applyNumberFormat="1" applyFont="1" applyAlignment="1">
      <alignment horizontal="center"/>
    </xf>
    <xf numFmtId="0" fontId="3" fillId="4" borderId="0" xfId="3" applyFont="1" applyFill="1" applyAlignment="1"/>
    <xf numFmtId="0" fontId="21" fillId="2" borderId="0" xfId="3" applyFont="1" applyFill="1" applyAlignment="1">
      <alignment horizontal="center" vertical="center"/>
    </xf>
    <xf numFmtId="0" fontId="22" fillId="2" borderId="0" xfId="3" applyFont="1" applyFill="1" applyAlignment="1">
      <alignment horizontal="center"/>
    </xf>
    <xf numFmtId="0" fontId="23" fillId="2" borderId="0" xfId="3" applyFont="1" applyFill="1" applyAlignment="1">
      <alignment horizontal="center"/>
    </xf>
    <xf numFmtId="181" fontId="20" fillId="2" borderId="0" xfId="3" applyNumberFormat="1" applyFont="1" applyFill="1" applyAlignment="1">
      <alignment horizontal="center"/>
    </xf>
  </cellXfs>
  <cellStyles count="10">
    <cellStyle name="Comma" xfId="1" builtinId="3"/>
    <cellStyle name="Currency" xfId="2" builtinId="4"/>
    <cellStyle name="Explanatory Text" xfId="3" builtinId="53"/>
    <cellStyle name="Normal" xfId="0" builtinId="0"/>
    <cellStyle name="Normal 2" xfId="5" xr:uid="{7602B8F5-7E23-4B96-B9D1-CEF6E786D5DC}"/>
    <cellStyle name="Normal_BalanceSheets" xfId="6" xr:uid="{53B55D87-C322-479A-90CD-59B4BCD4A760}"/>
    <cellStyle name="Normal_financial statements" xfId="9" xr:uid="{5262F73E-40DC-471A-83A7-9EA2BADC2837}"/>
    <cellStyle name="Normal_Income Statements" xfId="4" xr:uid="{1602C707-195A-4A58-BA08-AECCF39E0039}"/>
    <cellStyle name="Percent 10" xfId="7" xr:uid="{33A553CB-FCF9-4D7F-A064-68F873364445}"/>
    <cellStyle name="Percent 2" xfId="8" xr:uid="{8245F6BE-F98F-42D2-BADB-3DB791C7B1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bg1">
                    <a:lumMod val="95000"/>
                  </a:schemeClr>
                </a:solidFill>
                <a:latin typeface="+mn-lt"/>
                <a:ea typeface="+mn-ea"/>
                <a:cs typeface="+mn-cs"/>
              </a:defRPr>
            </a:pPr>
            <a:r>
              <a:rPr lang="en-US" sz="1400" b="0" i="0" u="none" strike="noStrike" kern="1200" spc="0" baseline="0">
                <a:solidFill>
                  <a:schemeClr val="bg1">
                    <a:lumMod val="95000"/>
                  </a:schemeClr>
                </a:solidFill>
                <a:latin typeface="+mn-lt"/>
                <a:ea typeface="+mn-ea"/>
                <a:cs typeface="+mn-cs"/>
              </a:rPr>
              <a:t>Number of Subscribers (in thousands)</a:t>
            </a:r>
          </a:p>
          <a:p>
            <a:pPr algn="ctr" rtl="0">
              <a:defRPr lang="en-US" sz="1400" b="0" i="0" u="none" strike="noStrike" kern="1200" spc="0" baseline="0">
                <a:solidFill>
                  <a:schemeClr val="bg1">
                    <a:lumMod val="95000"/>
                  </a:schemeClr>
                </a:solidFill>
                <a:latin typeface="+mn-lt"/>
                <a:ea typeface="+mn-ea"/>
                <a:cs typeface="+mn-cs"/>
              </a:defRPr>
            </a:pPr>
            <a:endParaRPr lang="en-US" sz="1400" b="0" i="0" u="none" strike="noStrike" kern="1200" spc="0" baseline="0">
              <a:solidFill>
                <a:schemeClr val="bg1">
                  <a:lumMod val="95000"/>
                </a:schemeClr>
              </a:solidFill>
              <a:latin typeface="+mn-lt"/>
              <a:ea typeface="+mn-ea"/>
              <a:cs typeface="+mn-cs"/>
            </a:endParaRPr>
          </a:p>
        </c:rich>
      </c:tx>
      <c:layout>
        <c:manualLayout>
          <c:xMode val="edge"/>
          <c:yMode val="edge"/>
          <c:x val="0.12530197504839455"/>
          <c:y val="3.3773311230832985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lumMod val="95000"/>
                </a:schemeClr>
              </a:solidFill>
              <a:latin typeface="+mn-lt"/>
              <a:ea typeface="+mn-ea"/>
              <a:cs typeface="+mn-cs"/>
            </a:defRPr>
          </a:pPr>
          <a:endParaRPr lang="en-US"/>
        </a:p>
      </c:txPr>
    </c:title>
    <c:autoTitleDeleted val="0"/>
    <c:plotArea>
      <c:layout>
        <c:manualLayout>
          <c:layoutTarget val="inner"/>
          <c:xMode val="edge"/>
          <c:yMode val="edge"/>
          <c:x val="0.3621641217499747"/>
          <c:y val="0.25100035293434381"/>
          <c:w val="0.28973688915588547"/>
          <c:h val="0.75413729890560566"/>
        </c:manualLayout>
      </c:layout>
      <c:doughnutChart>
        <c:varyColors val="1"/>
        <c:ser>
          <c:idx val="0"/>
          <c:order val="0"/>
          <c:tx>
            <c:strRef>
              <c:f>ceoSubs!$C$1</c:f>
              <c:strCache>
                <c:ptCount val="1"/>
                <c:pt idx="0">
                  <c:v>Number of Subscribers (in thousands)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07-4B88-9849-25983ACF9382}"/>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9907-4B88-9849-25983ACF938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907-4B88-9849-25983ACF9382}"/>
              </c:ext>
            </c:extLst>
          </c:dPt>
          <c:dPt>
            <c:idx val="3"/>
            <c:bubble3D val="0"/>
            <c:explosion val="6"/>
            <c:spPr>
              <a:noFill/>
              <a:ln w="19050">
                <a:noFill/>
              </a:ln>
              <a:effectLst/>
            </c:spPr>
            <c:extLst>
              <c:ext xmlns:c16="http://schemas.microsoft.com/office/drawing/2014/chart" uri="{C3380CC4-5D6E-409C-BE32-E72D297353CC}">
                <c16:uniqueId val="{00000007-9907-4B88-9849-25983ACF9382}"/>
              </c:ext>
            </c:extLst>
          </c:dPt>
          <c:dLbls>
            <c:dLbl>
              <c:idx val="0"/>
              <c:delete val="1"/>
              <c:extLst>
                <c:ext xmlns:c15="http://schemas.microsoft.com/office/drawing/2012/chart" uri="{CE6537A1-D6FC-4f65-9D91-7224C49458BB}">
                  <c15:layout>
                    <c:manualLayout>
                      <c:w val="6.8360957642725595E-2"/>
                      <c:h val="0.23626497178759012"/>
                    </c:manualLayout>
                  </c15:layout>
                </c:ext>
                <c:ext xmlns:c16="http://schemas.microsoft.com/office/drawing/2014/chart" uri="{C3380CC4-5D6E-409C-BE32-E72D297353CC}">
                  <c16:uniqueId val="{00000001-9907-4B88-9849-25983ACF9382}"/>
                </c:ext>
              </c:extLst>
            </c:dLbl>
            <c:dLbl>
              <c:idx val="1"/>
              <c:layout>
                <c:manualLayout>
                  <c:x val="9.1326981917314917E-3"/>
                  <c:y val="0.46060852529126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09957F33-86EF-40A5-A2CD-BE3019D9EA97}" type="VALUE">
                      <a:rPr lang="en-US" sz="2000">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32614086222647"/>
                      <c:h val="0.25802017798281718"/>
                    </c:manualLayout>
                  </c15:layout>
                  <c15:dlblFieldTable/>
                  <c15:showDataLabelsRange val="0"/>
                </c:ext>
                <c:ext xmlns:c16="http://schemas.microsoft.com/office/drawing/2014/chart" uri="{C3380CC4-5D6E-409C-BE32-E72D297353CC}">
                  <c16:uniqueId val="{00000003-9907-4B88-9849-25983ACF9382}"/>
                </c:ext>
              </c:extLst>
            </c:dLbl>
            <c:dLbl>
              <c:idx val="2"/>
              <c:delete val="1"/>
              <c:extLst>
                <c:ext xmlns:c15="http://schemas.microsoft.com/office/drawing/2012/chart" uri="{CE6537A1-D6FC-4f65-9D91-7224C49458BB}"/>
                <c:ext xmlns:c16="http://schemas.microsoft.com/office/drawing/2014/chart" uri="{C3380CC4-5D6E-409C-BE32-E72D297353CC}">
                  <c16:uniqueId val="{00000005-9907-4B88-9849-25983ACF9382}"/>
                </c:ext>
              </c:extLst>
            </c:dLbl>
            <c:dLbl>
              <c:idx val="3"/>
              <c:layout>
                <c:manualLayout>
                  <c:x val="0.34990806397819058"/>
                  <c:y val="-0.3350937731355639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5B36D55C-48DE-4522-8C59-FAD24DF8929B}" type="VALUE">
                      <a:rPr lang="en-US" sz="1100">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3260538565276"/>
                      <c:h val="0.41274781262387994"/>
                    </c:manualLayout>
                  </c15:layout>
                  <c15:dlblFieldTable/>
                  <c15:showDataLabelsRange val="0"/>
                </c:ext>
                <c:ext xmlns:c16="http://schemas.microsoft.com/office/drawing/2014/chart" uri="{C3380CC4-5D6E-409C-BE32-E72D297353CC}">
                  <c16:uniqueId val="{00000007-9907-4B88-9849-25983ACF93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ceoSubs!$C$2:$C$5</c:f>
              <c:numCache>
                <c:formatCode>General</c:formatCode>
                <c:ptCount val="4"/>
                <c:pt idx="0">
                  <c:v>0</c:v>
                </c:pt>
                <c:pt idx="1">
                  <c:v>221</c:v>
                </c:pt>
                <c:pt idx="2">
                  <c:v>14</c:v>
                </c:pt>
                <c:pt idx="3">
                  <c:v>235</c:v>
                </c:pt>
              </c:numCache>
            </c:numRef>
          </c:val>
          <c:extLst>
            <c:ext xmlns:c16="http://schemas.microsoft.com/office/drawing/2014/chart" uri="{C3380CC4-5D6E-409C-BE32-E72D297353CC}">
              <c16:uniqueId val="{00000008-9907-4B88-9849-25983ACF9382}"/>
            </c:ext>
          </c:extLst>
        </c:ser>
        <c:dLbls>
          <c:showLegendKey val="0"/>
          <c:showVal val="0"/>
          <c:showCatName val="0"/>
          <c:showSerName val="0"/>
          <c:showPercent val="0"/>
          <c:showBubbleSize val="0"/>
          <c:showLeaderLines val="0"/>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lang="en-US" sz="1400" b="0" i="0" u="none" strike="noStrike" kern="1200" spc="0" baseline="0">
                <a:solidFill>
                  <a:schemeClr val="bg1">
                    <a:lumMod val="95000"/>
                  </a:schemeClr>
                </a:solidFill>
                <a:latin typeface="+mn-lt"/>
                <a:ea typeface="+mn-ea"/>
                <a:cs typeface="+mn-cs"/>
              </a:defRPr>
            </a:pPr>
            <a:r>
              <a:rPr lang="en-US" sz="1400" b="0" i="0" u="none" strike="noStrike" kern="1200" spc="0" baseline="0">
                <a:solidFill>
                  <a:schemeClr val="bg1">
                    <a:lumMod val="95000"/>
                  </a:schemeClr>
                </a:solidFill>
                <a:latin typeface="+mn-lt"/>
                <a:ea typeface="+mn-ea"/>
                <a:cs typeface="+mn-cs"/>
              </a:rPr>
              <a:t>Trial Accounts Converted</a:t>
            </a:r>
          </a:p>
        </c:rich>
      </c:tx>
      <c:layout>
        <c:manualLayout>
          <c:xMode val="edge"/>
          <c:yMode val="edge"/>
          <c:x val="0.24524668377725978"/>
          <c:y val="2.6143772910110708E-2"/>
        </c:manualLayout>
      </c:layout>
      <c:overlay val="0"/>
      <c:spPr>
        <a:noFill/>
        <a:ln>
          <a:noFill/>
        </a:ln>
        <a:effectLst/>
      </c:spPr>
    </c:title>
    <c:autoTitleDeleted val="0"/>
    <c:plotArea>
      <c:layout>
        <c:manualLayout>
          <c:layoutTarget val="inner"/>
          <c:xMode val="edge"/>
          <c:yMode val="edge"/>
          <c:x val="0.37071857946445225"/>
          <c:y val="0.2709366332584473"/>
          <c:w val="0.28973195343271724"/>
          <c:h val="0.72906336674155248"/>
        </c:manualLayout>
      </c:layout>
      <c:doughnutChart>
        <c:varyColors val="1"/>
        <c:ser>
          <c:idx val="0"/>
          <c:order val="0"/>
          <c:tx>
            <c:strRef>
              <c:f>ceoSubs!$K$1</c:f>
              <c:strCache>
                <c:ptCount val="1"/>
                <c:pt idx="0">
                  <c:v>Subs Converted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A670-49A0-A3E3-4B91A34ED142}"/>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D-A670-49A0-A3E3-4B91A34ED142}"/>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1F-A670-49A0-A3E3-4B91A34ED142}"/>
              </c:ext>
            </c:extLst>
          </c:dPt>
          <c:dPt>
            <c:idx val="3"/>
            <c:bubble3D val="0"/>
            <c:spPr>
              <a:noFill/>
              <a:ln w="19050">
                <a:noFill/>
              </a:ln>
              <a:effectLst/>
            </c:spPr>
            <c:extLst>
              <c:ext xmlns:c16="http://schemas.microsoft.com/office/drawing/2014/chart" uri="{C3380CC4-5D6E-409C-BE32-E72D297353CC}">
                <c16:uniqueId val="{00000021-A670-49A0-A3E3-4B91A34ED142}"/>
              </c:ext>
            </c:extLst>
          </c:dPt>
          <c:dLbls>
            <c:dLbl>
              <c:idx val="0"/>
              <c:delete val="1"/>
              <c:extLst>
                <c:ext xmlns:c15="http://schemas.microsoft.com/office/drawing/2012/chart" uri="{CE6537A1-D6FC-4f65-9D91-7224C49458BB}"/>
                <c:ext xmlns:c16="http://schemas.microsoft.com/office/drawing/2014/chart" uri="{C3380CC4-5D6E-409C-BE32-E72D297353CC}">
                  <c16:uniqueId val="{0000001B-A670-49A0-A3E3-4B91A34ED142}"/>
                </c:ext>
              </c:extLst>
            </c:dLbl>
            <c:dLbl>
              <c:idx val="1"/>
              <c:layout>
                <c:manualLayout>
                  <c:x val="3.4632044075957075E-2"/>
                  <c:y val="0.46187366450608852"/>
                </c:manualLayout>
              </c:layout>
              <c:tx>
                <c:rich>
                  <a:bodyPr wrap="square" lIns="38100" tIns="19050" rIns="38100" bIns="19050" anchor="ctr">
                    <a:noAutofit/>
                  </a:bodyPr>
                  <a:lstStyle/>
                  <a:p>
                    <a:pPr>
                      <a:defRPr sz="1800">
                        <a:solidFill>
                          <a:schemeClr val="bg1">
                            <a:lumMod val="95000"/>
                          </a:schemeClr>
                        </a:solidFill>
                      </a:defRPr>
                    </a:pPr>
                    <a:fld id="{A769C8F7-30D6-47FC-A4FF-8A5A5B9B2BD5}" type="VALUE">
                      <a:rPr lang="en-US" sz="1800">
                        <a:solidFill>
                          <a:schemeClr val="bg1">
                            <a:lumMod val="95000"/>
                          </a:schemeClr>
                        </a:solidFill>
                      </a:rPr>
                      <a:pPr>
                        <a:defRPr sz="1800">
                          <a:solidFill>
                            <a:schemeClr val="bg1">
                              <a:lumMod val="95000"/>
                            </a:schemeClr>
                          </a:solidFill>
                        </a:defRPr>
                      </a:pPr>
                      <a:t>[VALUE]</a:t>
                    </a:fld>
                    <a:r>
                      <a:rPr lang="en-US" sz="1800">
                        <a:solidFill>
                          <a:schemeClr val="bg1">
                            <a:lumMod val="95000"/>
                          </a:schemeClr>
                        </a:solidFill>
                      </a:rPr>
                      <a: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7703900931629254"/>
                      <c:h val="0.26130735333068916"/>
                    </c:manualLayout>
                  </c15:layout>
                  <c15:dlblFieldTable/>
                  <c15:showDataLabelsRange val="0"/>
                </c:ext>
                <c:ext xmlns:c16="http://schemas.microsoft.com/office/drawing/2014/chart" uri="{C3380CC4-5D6E-409C-BE32-E72D297353CC}">
                  <c16:uniqueId val="{0000001D-A670-49A0-A3E3-4B91A34ED142}"/>
                </c:ext>
              </c:extLst>
            </c:dLbl>
            <c:dLbl>
              <c:idx val="2"/>
              <c:delete val="1"/>
              <c:extLst>
                <c:ext xmlns:c15="http://schemas.microsoft.com/office/drawing/2012/chart" uri="{CE6537A1-D6FC-4f65-9D91-7224C49458BB}"/>
                <c:ext xmlns:c16="http://schemas.microsoft.com/office/drawing/2014/chart" uri="{C3380CC4-5D6E-409C-BE32-E72D297353CC}">
                  <c16:uniqueId val="{0000001F-A670-49A0-A3E3-4B91A34ED142}"/>
                </c:ext>
              </c:extLst>
            </c:dLbl>
            <c:dLbl>
              <c:idx val="3"/>
              <c:delete val="1"/>
              <c:extLst>
                <c:ext xmlns:c15="http://schemas.microsoft.com/office/drawing/2012/chart" uri="{CE6537A1-D6FC-4f65-9D91-7224C49458BB}"/>
                <c:ext xmlns:c16="http://schemas.microsoft.com/office/drawing/2014/chart" uri="{C3380CC4-5D6E-409C-BE32-E72D297353CC}">
                  <c16:uniqueId val="{00000021-A670-49A0-A3E3-4B91A34ED14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extLst>
          </c:dLbls>
          <c:val>
            <c:numRef>
              <c:f>ceoSubs!$K$2:$K$5</c:f>
              <c:numCache>
                <c:formatCode>General</c:formatCode>
                <c:ptCount val="4"/>
                <c:pt idx="0">
                  <c:v>0</c:v>
                </c:pt>
                <c:pt idx="1">
                  <c:v>81</c:v>
                </c:pt>
                <c:pt idx="2">
                  <c:v>19</c:v>
                </c:pt>
                <c:pt idx="3">
                  <c:v>100</c:v>
                </c:pt>
              </c:numCache>
            </c:numRef>
          </c:val>
          <c:extLst>
            <c:ext xmlns:c16="http://schemas.microsoft.com/office/drawing/2014/chart" uri="{C3380CC4-5D6E-409C-BE32-E72D297353CC}">
              <c16:uniqueId val="{00000022-A670-49A0-A3E3-4B91A34ED142}"/>
            </c:ext>
          </c:extLst>
        </c:ser>
        <c:dLbls>
          <c:showLegendKey val="0"/>
          <c:showVal val="1"/>
          <c:showCatName val="0"/>
          <c:showSerName val="0"/>
          <c:showPercent val="0"/>
          <c:showBubbleSize val="0"/>
          <c:showLeaderLines val="0"/>
        </c:dLbls>
        <c:firstSliceAng val="270"/>
        <c:holeSize val="75"/>
      </c:doughnutChart>
    </c:plotArea>
    <c:plotVisOnly val="1"/>
    <c:dispBlanksAs val="gap"/>
    <c:showDLblsOverMax val="0"/>
    <c:extLst/>
  </c:chart>
  <c:spPr>
    <a:solidFill>
      <a:schemeClr val="tx1">
        <a:lumMod val="85000"/>
        <a:lumOff val="15000"/>
      </a:schemeClr>
    </a:solidFill>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lumMod val="95000"/>
                  </a:schemeClr>
                </a:solidFill>
              </a:rPr>
              <a:t>Revenue by Dept</a:t>
            </a:r>
          </a:p>
        </c:rich>
      </c:tx>
      <c:layout>
        <c:manualLayout>
          <c:xMode val="edge"/>
          <c:yMode val="edge"/>
          <c:x val="0.35619229173817291"/>
          <c:y val="2.09150298094069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5090689692411"/>
          <c:y val="3.4209545559070971E-2"/>
          <c:w val="0.84812524711885828"/>
          <c:h val="0.66386448404475751"/>
        </c:manualLayout>
      </c:layout>
      <c:lineChart>
        <c:grouping val="standard"/>
        <c:varyColors val="0"/>
        <c:ser>
          <c:idx val="0"/>
          <c:order val="0"/>
          <c:tx>
            <c:strRef>
              <c:f>ceoIncomeStatement!$B$11</c:f>
              <c:strCache>
                <c:ptCount val="1"/>
                <c:pt idx="0">
                  <c:v>Marketing</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ceoIncomeStatement!$F$11:$O$11</c:f>
              <c:numCache>
                <c:formatCode>#,##0</c:formatCode>
                <c:ptCount val="10"/>
                <c:pt idx="0">
                  <c:v>536777</c:v>
                </c:pt>
                <c:pt idx="1">
                  <c:v>592007</c:v>
                </c:pt>
                <c:pt idx="2">
                  <c:v>510330</c:v>
                </c:pt>
                <c:pt idx="3">
                  <c:v>730355</c:v>
                </c:pt>
                <c:pt idx="4">
                  <c:v>616578</c:v>
                </c:pt>
                <c:pt idx="5">
                  <c:v>603150</c:v>
                </c:pt>
                <c:pt idx="6">
                  <c:v>553797</c:v>
                </c:pt>
                <c:pt idx="7">
                  <c:v>878937</c:v>
                </c:pt>
                <c:pt idx="8">
                  <c:v>503830</c:v>
                </c:pt>
                <c:pt idx="9">
                  <c:v>434370</c:v>
                </c:pt>
              </c:numCache>
            </c:numRef>
          </c:val>
          <c:smooth val="0"/>
          <c:extLst>
            <c:ext xmlns:c16="http://schemas.microsoft.com/office/drawing/2014/chart" uri="{C3380CC4-5D6E-409C-BE32-E72D297353CC}">
              <c16:uniqueId val="{00000000-068A-4D4A-B0CF-A445A2DED0AD}"/>
            </c:ext>
          </c:extLst>
        </c:ser>
        <c:ser>
          <c:idx val="1"/>
          <c:order val="1"/>
          <c:tx>
            <c:strRef>
              <c:f>ceoIncomeStatement!$B$12</c:f>
              <c:strCache>
                <c:ptCount val="1"/>
                <c:pt idx="0">
                  <c:v>Technology and development</c:v>
                </c:pt>
              </c:strCache>
            </c:strRef>
          </c:tx>
          <c:spPr>
            <a:ln w="34925" cap="rnd">
              <a:solidFill>
                <a:schemeClr val="bg1"/>
              </a:solidFill>
              <a:round/>
            </a:ln>
            <a:effectLst>
              <a:outerShdw blurRad="57150" dist="19050" dir="5400000" algn="ctr" rotWithShape="0">
                <a:srgbClr val="000000">
                  <a:alpha val="63000"/>
                </a:srgbClr>
              </a:outerShdw>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ceoIncomeStatement!$F$12:$O$12</c:f>
              <c:numCache>
                <c:formatCode>#,##0</c:formatCode>
                <c:ptCount val="10"/>
                <c:pt idx="0">
                  <c:v>282310</c:v>
                </c:pt>
                <c:pt idx="1">
                  <c:v>299095</c:v>
                </c:pt>
                <c:pt idx="2">
                  <c:v>308620</c:v>
                </c:pt>
                <c:pt idx="3">
                  <c:v>331789</c:v>
                </c:pt>
                <c:pt idx="4">
                  <c:v>372764</c:v>
                </c:pt>
                <c:pt idx="5">
                  <c:v>383233</c:v>
                </c:pt>
                <c:pt idx="6">
                  <c:v>379776</c:v>
                </c:pt>
                <c:pt idx="7">
                  <c:v>409376</c:v>
                </c:pt>
                <c:pt idx="8">
                  <c:v>453817</c:v>
                </c:pt>
                <c:pt idx="9">
                  <c:v>435045</c:v>
                </c:pt>
              </c:numCache>
            </c:numRef>
          </c:val>
          <c:smooth val="0"/>
          <c:extLst>
            <c:ext xmlns:c16="http://schemas.microsoft.com/office/drawing/2014/chart" uri="{C3380CC4-5D6E-409C-BE32-E72D297353CC}">
              <c16:uniqueId val="{00000001-068A-4D4A-B0CF-A445A2DED0AD}"/>
            </c:ext>
          </c:extLst>
        </c:ser>
        <c:ser>
          <c:idx val="2"/>
          <c:order val="2"/>
          <c:tx>
            <c:strRef>
              <c:f>ceoIncomeStatement!$B$13</c:f>
              <c:strCache>
                <c:ptCount val="1"/>
                <c:pt idx="0">
                  <c:v>General and administrative</c:v>
                </c:pt>
              </c:strCache>
            </c:strRef>
          </c:tx>
          <c:spPr>
            <a:ln w="34925" cap="rnd">
              <a:solidFill>
                <a:schemeClr val="dk1">
                  <a:tint val="75000"/>
                </a:schemeClr>
              </a:solidFill>
              <a:round/>
            </a:ln>
            <a:effectLst>
              <a:outerShdw blurRad="57150" dist="19050" dir="5400000" algn="ctr" rotWithShape="0">
                <a:srgbClr val="000000">
                  <a:alpha val="63000"/>
                </a:srgbClr>
              </a:outerShdw>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ceoIncomeStatement!$F$13:$O$13</c:f>
              <c:numCache>
                <c:formatCode>#,##0</c:formatCode>
                <c:ptCount val="10"/>
                <c:pt idx="0">
                  <c:v>134612</c:v>
                </c:pt>
                <c:pt idx="1">
                  <c:v>151524</c:v>
                </c:pt>
                <c:pt idx="2">
                  <c:v>168628</c:v>
                </c:pt>
                <c:pt idx="3">
                  <c:v>175530</c:v>
                </c:pt>
                <c:pt idx="4">
                  <c:v>201952</c:v>
                </c:pt>
                <c:pt idx="5">
                  <c:v>224657</c:v>
                </c:pt>
                <c:pt idx="6">
                  <c:v>233174</c:v>
                </c:pt>
                <c:pt idx="7">
                  <c:v>254586</c:v>
                </c:pt>
                <c:pt idx="8">
                  <c:v>252087</c:v>
                </c:pt>
                <c:pt idx="9">
                  <c:v>277236</c:v>
                </c:pt>
              </c:numCache>
            </c:numRef>
          </c:val>
          <c:smooth val="0"/>
          <c:extLst>
            <c:ext xmlns:c16="http://schemas.microsoft.com/office/drawing/2014/chart" uri="{C3380CC4-5D6E-409C-BE32-E72D297353CC}">
              <c16:uniqueId val="{00000002-068A-4D4A-B0CF-A445A2DED0AD}"/>
            </c:ext>
          </c:extLst>
        </c:ser>
        <c:dLbls>
          <c:showLegendKey val="0"/>
          <c:showVal val="0"/>
          <c:showCatName val="0"/>
          <c:showSerName val="0"/>
          <c:showPercent val="0"/>
          <c:showBubbleSize val="0"/>
        </c:dLbls>
        <c:smooth val="0"/>
        <c:axId val="1028425832"/>
        <c:axId val="1028427144"/>
      </c:lineChart>
      <c:dateAx>
        <c:axId val="1028425832"/>
        <c:scaling>
          <c:orientation val="minMax"/>
        </c:scaling>
        <c:delete val="0"/>
        <c:axPos val="b"/>
        <c:numFmt formatCode="yyyy\-mm\-dd;@"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28427144"/>
        <c:crosses val="autoZero"/>
        <c:auto val="1"/>
        <c:lblOffset val="100"/>
        <c:baseTimeUnit val="months"/>
      </c:dateAx>
      <c:valAx>
        <c:axId val="102842714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28425832"/>
        <c:crosses val="autoZero"/>
        <c:crossBetween val="between"/>
      </c:valAx>
      <c:spPr>
        <a:solidFill>
          <a:schemeClr val="tx1">
            <a:lumMod val="85000"/>
            <a:lumOff val="15000"/>
          </a:schemeClr>
        </a:solidFill>
        <a:ln>
          <a:noFill/>
        </a:ln>
        <a:effectLst/>
      </c:spPr>
    </c:plotArea>
    <c:legend>
      <c:legendPos val="b"/>
      <c:layout>
        <c:manualLayout>
          <c:xMode val="edge"/>
          <c:yMode val="edge"/>
          <c:x val="5.7533017489512187E-2"/>
          <c:y val="0.91893367576684193"/>
          <c:w val="0.8974888953124438"/>
          <c:h val="6.74608771978064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600" b="1">
                <a:solidFill>
                  <a:schemeClr val="bg1">
                    <a:lumMod val="95000"/>
                  </a:schemeClr>
                </a:solidFill>
              </a:rPr>
              <a:t>Net</a:t>
            </a:r>
            <a:r>
              <a:rPr lang="en-US" sz="1600" b="1" baseline="0">
                <a:solidFill>
                  <a:schemeClr val="bg1">
                    <a:lumMod val="95000"/>
                  </a:schemeClr>
                </a:solidFill>
              </a:rPr>
              <a:t> Income</a:t>
            </a:r>
            <a:endParaRPr lang="en-US" sz="16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lotArea>
      <c:layout>
        <c:manualLayout>
          <c:layoutTarget val="inner"/>
          <c:xMode val="edge"/>
          <c:yMode val="edge"/>
          <c:x val="0.13162306324612649"/>
          <c:y val="0.17962703962703966"/>
          <c:w val="0.84574135222344515"/>
          <c:h val="0.5841385386267276"/>
        </c:manualLayout>
      </c:layout>
      <c:lineChart>
        <c:grouping val="standard"/>
        <c:varyColors val="0"/>
        <c:ser>
          <c:idx val="0"/>
          <c:order val="0"/>
          <c:spPr>
            <a:ln w="28575" cap="rnd">
              <a:solidFill>
                <a:srgbClr val="C00000"/>
              </a:solidFill>
              <a:round/>
            </a:ln>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ceoIncomeStatement!$F$20:$O$20</c:f>
              <c:numCache>
                <c:formatCode>_("$"* #,##0_);_("$"* \(#,##0\);_("$"* "-"??_);_(@_)</c:formatCode>
                <c:ptCount val="10"/>
                <c:pt idx="0">
                  <c:v>290124</c:v>
                </c:pt>
                <c:pt idx="1">
                  <c:v>384349</c:v>
                </c:pt>
                <c:pt idx="2">
                  <c:v>402835</c:v>
                </c:pt>
                <c:pt idx="3">
                  <c:v>133934</c:v>
                </c:pt>
                <c:pt idx="4">
                  <c:v>344052</c:v>
                </c:pt>
                <c:pt idx="5">
                  <c:v>270650</c:v>
                </c:pt>
                <c:pt idx="6">
                  <c:v>665244</c:v>
                </c:pt>
                <c:pt idx="7">
                  <c:v>586970</c:v>
                </c:pt>
                <c:pt idx="8">
                  <c:v>709067</c:v>
                </c:pt>
                <c:pt idx="9">
                  <c:v>720196</c:v>
                </c:pt>
              </c:numCache>
            </c:numRef>
          </c:val>
          <c:smooth val="0"/>
          <c:extLst>
            <c:ext xmlns:c16="http://schemas.microsoft.com/office/drawing/2014/chart" uri="{C3380CC4-5D6E-409C-BE32-E72D297353CC}">
              <c16:uniqueId val="{00000000-2840-42E8-9E6D-2DFFC0F5720D}"/>
            </c:ext>
          </c:extLst>
        </c:ser>
        <c:dLbls>
          <c:showLegendKey val="0"/>
          <c:showVal val="0"/>
          <c:showCatName val="0"/>
          <c:showSerName val="0"/>
          <c:showPercent val="0"/>
          <c:showBubbleSize val="0"/>
        </c:dLbls>
        <c:smooth val="0"/>
        <c:axId val="1126002192"/>
        <c:axId val="1104320640"/>
      </c:lineChart>
      <c:dateAx>
        <c:axId val="1126002192"/>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04320640"/>
        <c:crosses val="autoZero"/>
        <c:auto val="1"/>
        <c:lblOffset val="100"/>
        <c:baseTimeUnit val="months"/>
      </c:dateAx>
      <c:valAx>
        <c:axId val="1104320640"/>
        <c:scaling>
          <c:orientation val="minMax"/>
        </c:scaling>
        <c:delete val="0"/>
        <c:axPos val="l"/>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26002192"/>
        <c:crosses val="autoZero"/>
        <c:crossBetween val="between"/>
      </c:valAx>
      <c:spPr>
        <a:noFill/>
        <a:ln>
          <a:solidFill>
            <a:schemeClr val="bg2">
              <a:lumMod val="50000"/>
            </a:schemeClr>
          </a:solidFill>
        </a:ln>
        <a:effectLst/>
      </c:spPr>
    </c:plotArea>
    <c:plotVisOnly val="1"/>
    <c:dispBlanksAs val="gap"/>
    <c:showDLblsOverMax val="0"/>
  </c:chart>
  <c:spPr>
    <a:solidFill>
      <a:schemeClr val="tx1">
        <a:lumMod val="85000"/>
        <a:lumOff val="1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chemeClr val="bg1">
                    <a:lumMod val="95000"/>
                  </a:schemeClr>
                </a:solidFill>
                <a:latin typeface="+mn-lt"/>
                <a:ea typeface="+mn-ea"/>
                <a:cs typeface="+mn-cs"/>
              </a:defRPr>
            </a:pPr>
            <a:r>
              <a:rPr lang="en-US" sz="1600" b="1" i="0" u="none" strike="noStrike" kern="1200" baseline="0">
                <a:solidFill>
                  <a:schemeClr val="bg1">
                    <a:lumMod val="95000"/>
                  </a:schemeClr>
                </a:solidFill>
                <a:latin typeface="+mn-lt"/>
                <a:ea typeface="+mn-ea"/>
                <a:cs typeface="+mn-cs"/>
              </a:rPr>
              <a:t>Revenue By </a:t>
            </a:r>
            <a:r>
              <a:rPr lang="en-US" sz="1600" b="1" i="0" u="none" strike="noStrike" kern="1200" spc="0" baseline="0">
                <a:solidFill>
                  <a:schemeClr val="bg1">
                    <a:lumMod val="95000"/>
                  </a:schemeClr>
                </a:solidFill>
                <a:latin typeface="+mn-lt"/>
                <a:ea typeface="+mn-ea"/>
                <a:cs typeface="+mn-cs"/>
              </a:rPr>
              <a:t>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lumMod val="95000"/>
                </a:schemeClr>
              </a:solidFill>
              <a:latin typeface="+mn-lt"/>
              <a:ea typeface="+mn-ea"/>
              <a:cs typeface="+mn-cs"/>
            </a:defRPr>
          </a:pPr>
          <a:endParaRPr lang="en-US"/>
        </a:p>
      </c:txPr>
    </c:title>
    <c:autoTitleDeleted val="0"/>
    <c:plotArea>
      <c:layout/>
      <c:lineChart>
        <c:grouping val="standard"/>
        <c:varyColors val="0"/>
        <c:ser>
          <c:idx val="0"/>
          <c:order val="0"/>
          <c:tx>
            <c:strRef>
              <c:f>ceoRevByRegion!$A$9</c:f>
              <c:strCache>
                <c:ptCount val="1"/>
                <c:pt idx="0">
                  <c:v>United States and Canada (UCAN)</c:v>
                </c:pt>
              </c:strCache>
            </c:strRef>
          </c:tx>
          <c:spPr>
            <a:ln w="28575" cap="rnd">
              <a:solidFill>
                <a:srgbClr val="FF0000"/>
              </a:solidFill>
              <a:round/>
            </a:ln>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ceoRevByRegion!$G$10:$P$10</c:f>
              <c:numCache>
                <c:formatCode>_("$"* #,##0_);_("$"* \(#,##0\);_("$"* "-"??_);_(@_)</c:formatCode>
                <c:ptCount val="10"/>
                <c:pt idx="0">
                  <c:v>1976157</c:v>
                </c:pt>
                <c:pt idx="1">
                  <c:v>2049546</c:v>
                </c:pt>
                <c:pt idx="2">
                  <c:v>2094850</c:v>
                </c:pt>
                <c:pt idx="3">
                  <c:v>2160979</c:v>
                </c:pt>
                <c:pt idx="4">
                  <c:v>2256851</c:v>
                </c:pt>
                <c:pt idx="5">
                  <c:v>2501199</c:v>
                </c:pt>
                <c:pt idx="6">
                  <c:v>2621250</c:v>
                </c:pt>
                <c:pt idx="7">
                  <c:v>2671908</c:v>
                </c:pt>
                <c:pt idx="8">
                  <c:v>2702776</c:v>
                </c:pt>
                <c:pt idx="9">
                  <c:v>2839670</c:v>
                </c:pt>
              </c:numCache>
            </c:numRef>
          </c:val>
          <c:smooth val="0"/>
          <c:extLst>
            <c:ext xmlns:c16="http://schemas.microsoft.com/office/drawing/2014/chart" uri="{C3380CC4-5D6E-409C-BE32-E72D297353CC}">
              <c16:uniqueId val="{00000000-F614-4DE5-964D-2571BE46E886}"/>
            </c:ext>
          </c:extLst>
        </c:ser>
        <c:ser>
          <c:idx val="1"/>
          <c:order val="1"/>
          <c:tx>
            <c:strRef>
              <c:f>ceoRevByRegion!$A$18</c:f>
              <c:strCache>
                <c:ptCount val="1"/>
                <c:pt idx="0">
                  <c:v>Europe, Middle East and Africa (EMEA)</c:v>
                </c:pt>
              </c:strCache>
            </c:strRef>
          </c:tx>
          <c:spPr>
            <a:ln w="28575" cap="rnd">
              <a:solidFill>
                <a:schemeClr val="bg1">
                  <a:lumMod val="95000"/>
                </a:schemeClr>
              </a:solidFill>
              <a:round/>
            </a:ln>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ceoRevByRegion!$G$19:$P$19</c:f>
              <c:numCache>
                <c:formatCode>_("$"* #,##0_);_("$"* \(#,##0\);_("$"* "-"??_);_(@_)</c:formatCode>
                <c:ptCount val="10"/>
                <c:pt idx="0">
                  <c:v>886649</c:v>
                </c:pt>
                <c:pt idx="1">
                  <c:v>975497</c:v>
                </c:pt>
                <c:pt idx="2">
                  <c:v>1004749</c:v>
                </c:pt>
                <c:pt idx="3">
                  <c:v>1096812</c:v>
                </c:pt>
                <c:pt idx="4">
                  <c:v>1233379</c:v>
                </c:pt>
                <c:pt idx="5">
                  <c:v>1319087</c:v>
                </c:pt>
                <c:pt idx="6">
                  <c:v>1428040</c:v>
                </c:pt>
                <c:pt idx="7">
                  <c:v>1562561</c:v>
                </c:pt>
                <c:pt idx="8">
                  <c:v>1723474</c:v>
                </c:pt>
                <c:pt idx="9">
                  <c:v>1892537</c:v>
                </c:pt>
              </c:numCache>
            </c:numRef>
          </c:val>
          <c:smooth val="0"/>
          <c:extLst>
            <c:ext xmlns:c16="http://schemas.microsoft.com/office/drawing/2014/chart" uri="{C3380CC4-5D6E-409C-BE32-E72D297353CC}">
              <c16:uniqueId val="{00000001-F614-4DE5-964D-2571BE46E886}"/>
            </c:ext>
          </c:extLst>
        </c:ser>
        <c:ser>
          <c:idx val="2"/>
          <c:order val="2"/>
          <c:tx>
            <c:strRef>
              <c:f>ceoRevByRegion!$A$27</c:f>
              <c:strCache>
                <c:ptCount val="1"/>
                <c:pt idx="0">
                  <c:v>Latin America (LATAM)</c:v>
                </c:pt>
              </c:strCache>
            </c:strRef>
          </c:tx>
          <c:spPr>
            <a:ln w="28575" cap="rnd">
              <a:solidFill>
                <a:schemeClr val="accent3"/>
              </a:solidFill>
              <a:round/>
            </a:ln>
            <a:effectLst/>
          </c:spPr>
          <c:marker>
            <c:symbol val="none"/>
          </c:marker>
          <c:cat>
            <c:numRef>
              <c:f>ceoIncomeStatement!$F$6:$O$6</c:f>
              <c:numCache>
                <c:formatCode>yyyy\-mm\-dd;@</c:formatCode>
                <c:ptCount val="10"/>
                <c:pt idx="0">
                  <c:v>43190</c:v>
                </c:pt>
                <c:pt idx="1">
                  <c:v>43281</c:v>
                </c:pt>
                <c:pt idx="2">
                  <c:v>43373</c:v>
                </c:pt>
                <c:pt idx="3">
                  <c:v>43465</c:v>
                </c:pt>
                <c:pt idx="4">
                  <c:v>43555</c:v>
                </c:pt>
                <c:pt idx="5">
                  <c:v>43646</c:v>
                </c:pt>
                <c:pt idx="6">
                  <c:v>43738</c:v>
                </c:pt>
                <c:pt idx="7">
                  <c:v>43830</c:v>
                </c:pt>
                <c:pt idx="8">
                  <c:v>43921</c:v>
                </c:pt>
                <c:pt idx="9">
                  <c:v>44012</c:v>
                </c:pt>
              </c:numCache>
            </c:numRef>
          </c:cat>
          <c:val>
            <c:numRef>
              <c:f>ceoRevByRegion!$G$28:$P$28</c:f>
              <c:numCache>
                <c:formatCode>_("$"* #,##0_);_("$"* \(#,##0\);_("$"* "-"??_);_(@_)</c:formatCode>
                <c:ptCount val="10"/>
                <c:pt idx="0">
                  <c:v>540182</c:v>
                </c:pt>
                <c:pt idx="1">
                  <c:v>568071</c:v>
                </c:pt>
                <c:pt idx="2">
                  <c:v>562307</c:v>
                </c:pt>
                <c:pt idx="3">
                  <c:v>567137</c:v>
                </c:pt>
                <c:pt idx="4">
                  <c:v>630472</c:v>
                </c:pt>
                <c:pt idx="5">
                  <c:v>677136</c:v>
                </c:pt>
                <c:pt idx="6">
                  <c:v>741434</c:v>
                </c:pt>
                <c:pt idx="7">
                  <c:v>746392</c:v>
                </c:pt>
                <c:pt idx="8">
                  <c:v>793453</c:v>
                </c:pt>
                <c:pt idx="9">
                  <c:v>785368</c:v>
                </c:pt>
              </c:numCache>
            </c:numRef>
          </c:val>
          <c:smooth val="0"/>
          <c:extLst>
            <c:ext xmlns:c16="http://schemas.microsoft.com/office/drawing/2014/chart" uri="{C3380CC4-5D6E-409C-BE32-E72D297353CC}">
              <c16:uniqueId val="{00000002-F614-4DE5-964D-2571BE46E886}"/>
            </c:ext>
          </c:extLst>
        </c:ser>
        <c:dLbls>
          <c:showLegendKey val="0"/>
          <c:showVal val="0"/>
          <c:showCatName val="0"/>
          <c:showSerName val="0"/>
          <c:showPercent val="0"/>
          <c:showBubbleSize val="0"/>
        </c:dLbls>
        <c:smooth val="0"/>
        <c:axId val="1026308248"/>
        <c:axId val="1026308576"/>
      </c:lineChart>
      <c:dateAx>
        <c:axId val="1026308248"/>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26308576"/>
        <c:crosses val="autoZero"/>
        <c:auto val="1"/>
        <c:lblOffset val="100"/>
        <c:baseTimeUnit val="months"/>
      </c:dateAx>
      <c:valAx>
        <c:axId val="1026308576"/>
        <c:scaling>
          <c:orientation val="minMax"/>
        </c:scaling>
        <c:delete val="0"/>
        <c:axPos val="l"/>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26308248"/>
        <c:crosses val="autoZero"/>
        <c:crossBetween val="between"/>
      </c:valAx>
      <c:spPr>
        <a:solidFill>
          <a:schemeClr val="tx1">
            <a:lumMod val="85000"/>
            <a:lumOff val="15000"/>
          </a:schemeClr>
        </a:solidFill>
        <a:ln>
          <a:solidFill>
            <a:schemeClr val="bg2">
              <a:lumMod val="50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chemeClr val="bg1">
                    <a:lumMod val="95000"/>
                  </a:schemeClr>
                </a:solidFill>
                <a:latin typeface="+mn-lt"/>
                <a:ea typeface="+mn-ea"/>
                <a:cs typeface="+mn-cs"/>
              </a:defRPr>
            </a:pPr>
            <a:r>
              <a:rPr lang="en-US" sz="1600" b="1" i="0" u="none" strike="noStrike" kern="1200" spc="0" baseline="0">
                <a:solidFill>
                  <a:schemeClr val="bg1">
                    <a:lumMod val="95000"/>
                  </a:schemeClr>
                </a:solidFill>
                <a:latin typeface="+mn-lt"/>
                <a:ea typeface="+mn-ea"/>
                <a:cs typeface="+mn-cs"/>
              </a:rPr>
              <a:t>Num of Subs (in thousands)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lumMod val="95000"/>
                </a:schemeClr>
              </a:solidFill>
              <a:latin typeface="+mn-lt"/>
              <a:ea typeface="+mn-ea"/>
              <a:cs typeface="+mn-cs"/>
            </a:defRPr>
          </a:pPr>
          <a:endParaRPr lang="en-US"/>
        </a:p>
      </c:txPr>
    </c:title>
    <c:autoTitleDeleted val="0"/>
    <c:plotArea>
      <c:layout/>
      <c:lineChart>
        <c:grouping val="standard"/>
        <c:varyColors val="0"/>
        <c:ser>
          <c:idx val="0"/>
          <c:order val="0"/>
          <c:tx>
            <c:strRef>
              <c:f>ceoSubs!$B$1</c:f>
              <c:strCache>
                <c:ptCount val="1"/>
                <c:pt idx="0">
                  <c:v>Num of Subs per day</c:v>
                </c:pt>
              </c:strCache>
            </c:strRef>
          </c:tx>
          <c:spPr>
            <a:ln w="28575" cap="rnd">
              <a:solidFill>
                <a:srgbClr val="C00000"/>
              </a:solidFill>
              <a:round/>
            </a:ln>
            <a:effectLst/>
          </c:spPr>
          <c:marker>
            <c:symbol val="none"/>
          </c:marker>
          <c:cat>
            <c:numRef>
              <c:f>ceoSubs!$A$2:$A$1675</c:f>
              <c:numCache>
                <c:formatCode>yyyy\-mm\-dd;@</c:formatCode>
                <c:ptCount val="1674"/>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pt idx="60">
                  <c:v>42430</c:v>
                </c:pt>
                <c:pt idx="61">
                  <c:v>42431</c:v>
                </c:pt>
                <c:pt idx="62">
                  <c:v>42432</c:v>
                </c:pt>
                <c:pt idx="63">
                  <c:v>42433</c:v>
                </c:pt>
                <c:pt idx="64">
                  <c:v>42434</c:v>
                </c:pt>
                <c:pt idx="65">
                  <c:v>42435</c:v>
                </c:pt>
                <c:pt idx="66">
                  <c:v>42436</c:v>
                </c:pt>
                <c:pt idx="67">
                  <c:v>42437</c:v>
                </c:pt>
                <c:pt idx="68">
                  <c:v>42438</c:v>
                </c:pt>
                <c:pt idx="69">
                  <c:v>42439</c:v>
                </c:pt>
                <c:pt idx="70">
                  <c:v>42440</c:v>
                </c:pt>
                <c:pt idx="71">
                  <c:v>42441</c:v>
                </c:pt>
                <c:pt idx="72">
                  <c:v>42442</c:v>
                </c:pt>
                <c:pt idx="73">
                  <c:v>42443</c:v>
                </c:pt>
                <c:pt idx="74">
                  <c:v>42444</c:v>
                </c:pt>
                <c:pt idx="75">
                  <c:v>42445</c:v>
                </c:pt>
                <c:pt idx="76">
                  <c:v>42446</c:v>
                </c:pt>
                <c:pt idx="77">
                  <c:v>42447</c:v>
                </c:pt>
                <c:pt idx="78">
                  <c:v>42448</c:v>
                </c:pt>
                <c:pt idx="79">
                  <c:v>42449</c:v>
                </c:pt>
                <c:pt idx="80">
                  <c:v>42450</c:v>
                </c:pt>
                <c:pt idx="81">
                  <c:v>42451</c:v>
                </c:pt>
                <c:pt idx="82">
                  <c:v>42452</c:v>
                </c:pt>
                <c:pt idx="83">
                  <c:v>42453</c:v>
                </c:pt>
                <c:pt idx="84">
                  <c:v>42454</c:v>
                </c:pt>
                <c:pt idx="85">
                  <c:v>42455</c:v>
                </c:pt>
                <c:pt idx="86">
                  <c:v>42456</c:v>
                </c:pt>
                <c:pt idx="87">
                  <c:v>42457</c:v>
                </c:pt>
                <c:pt idx="88">
                  <c:v>42458</c:v>
                </c:pt>
                <c:pt idx="89">
                  <c:v>42459</c:v>
                </c:pt>
                <c:pt idx="90">
                  <c:v>42460</c:v>
                </c:pt>
                <c:pt idx="91">
                  <c:v>42461</c:v>
                </c:pt>
                <c:pt idx="92">
                  <c:v>42462</c:v>
                </c:pt>
                <c:pt idx="93">
                  <c:v>42463</c:v>
                </c:pt>
                <c:pt idx="94">
                  <c:v>42464</c:v>
                </c:pt>
                <c:pt idx="95">
                  <c:v>42465</c:v>
                </c:pt>
                <c:pt idx="96">
                  <c:v>42466</c:v>
                </c:pt>
                <c:pt idx="97">
                  <c:v>42467</c:v>
                </c:pt>
                <c:pt idx="98">
                  <c:v>42468</c:v>
                </c:pt>
                <c:pt idx="99">
                  <c:v>42469</c:v>
                </c:pt>
                <c:pt idx="100">
                  <c:v>42470</c:v>
                </c:pt>
                <c:pt idx="101">
                  <c:v>42471</c:v>
                </c:pt>
                <c:pt idx="102">
                  <c:v>42472</c:v>
                </c:pt>
                <c:pt idx="103">
                  <c:v>42473</c:v>
                </c:pt>
                <c:pt idx="104">
                  <c:v>42474</c:v>
                </c:pt>
                <c:pt idx="105">
                  <c:v>42475</c:v>
                </c:pt>
                <c:pt idx="106">
                  <c:v>42476</c:v>
                </c:pt>
                <c:pt idx="107">
                  <c:v>42477</c:v>
                </c:pt>
                <c:pt idx="108">
                  <c:v>42478</c:v>
                </c:pt>
                <c:pt idx="109">
                  <c:v>42479</c:v>
                </c:pt>
                <c:pt idx="110">
                  <c:v>42480</c:v>
                </c:pt>
                <c:pt idx="111">
                  <c:v>42481</c:v>
                </c:pt>
                <c:pt idx="112">
                  <c:v>42482</c:v>
                </c:pt>
                <c:pt idx="113">
                  <c:v>42483</c:v>
                </c:pt>
                <c:pt idx="114">
                  <c:v>42484</c:v>
                </c:pt>
                <c:pt idx="115">
                  <c:v>42485</c:v>
                </c:pt>
                <c:pt idx="116">
                  <c:v>42486</c:v>
                </c:pt>
                <c:pt idx="117">
                  <c:v>42487</c:v>
                </c:pt>
                <c:pt idx="118">
                  <c:v>42488</c:v>
                </c:pt>
                <c:pt idx="119">
                  <c:v>42489</c:v>
                </c:pt>
                <c:pt idx="120">
                  <c:v>42490</c:v>
                </c:pt>
                <c:pt idx="121">
                  <c:v>42491</c:v>
                </c:pt>
                <c:pt idx="122">
                  <c:v>42492</c:v>
                </c:pt>
                <c:pt idx="123">
                  <c:v>42493</c:v>
                </c:pt>
                <c:pt idx="124">
                  <c:v>42494</c:v>
                </c:pt>
                <c:pt idx="125">
                  <c:v>42495</c:v>
                </c:pt>
                <c:pt idx="126">
                  <c:v>42496</c:v>
                </c:pt>
                <c:pt idx="127">
                  <c:v>42497</c:v>
                </c:pt>
                <c:pt idx="128">
                  <c:v>42498</c:v>
                </c:pt>
                <c:pt idx="129">
                  <c:v>42499</c:v>
                </c:pt>
                <c:pt idx="130">
                  <c:v>42500</c:v>
                </c:pt>
                <c:pt idx="131">
                  <c:v>42501</c:v>
                </c:pt>
                <c:pt idx="132">
                  <c:v>42502</c:v>
                </c:pt>
                <c:pt idx="133">
                  <c:v>42503</c:v>
                </c:pt>
                <c:pt idx="134">
                  <c:v>42504</c:v>
                </c:pt>
                <c:pt idx="135">
                  <c:v>42505</c:v>
                </c:pt>
                <c:pt idx="136">
                  <c:v>42506</c:v>
                </c:pt>
                <c:pt idx="137">
                  <c:v>42507</c:v>
                </c:pt>
                <c:pt idx="138">
                  <c:v>42508</c:v>
                </c:pt>
                <c:pt idx="139">
                  <c:v>42509</c:v>
                </c:pt>
                <c:pt idx="140">
                  <c:v>42510</c:v>
                </c:pt>
                <c:pt idx="141">
                  <c:v>42511</c:v>
                </c:pt>
                <c:pt idx="142">
                  <c:v>42512</c:v>
                </c:pt>
                <c:pt idx="143">
                  <c:v>42513</c:v>
                </c:pt>
                <c:pt idx="144">
                  <c:v>42514</c:v>
                </c:pt>
                <c:pt idx="145">
                  <c:v>42515</c:v>
                </c:pt>
                <c:pt idx="146">
                  <c:v>42516</c:v>
                </c:pt>
                <c:pt idx="147">
                  <c:v>42517</c:v>
                </c:pt>
                <c:pt idx="148">
                  <c:v>42518</c:v>
                </c:pt>
                <c:pt idx="149">
                  <c:v>42519</c:v>
                </c:pt>
                <c:pt idx="150">
                  <c:v>42520</c:v>
                </c:pt>
                <c:pt idx="151">
                  <c:v>42521</c:v>
                </c:pt>
                <c:pt idx="152">
                  <c:v>42522</c:v>
                </c:pt>
                <c:pt idx="153">
                  <c:v>42523</c:v>
                </c:pt>
                <c:pt idx="154">
                  <c:v>42524</c:v>
                </c:pt>
                <c:pt idx="155">
                  <c:v>42525</c:v>
                </c:pt>
                <c:pt idx="156">
                  <c:v>42526</c:v>
                </c:pt>
                <c:pt idx="157">
                  <c:v>42527</c:v>
                </c:pt>
                <c:pt idx="158">
                  <c:v>42528</c:v>
                </c:pt>
                <c:pt idx="159">
                  <c:v>42529</c:v>
                </c:pt>
                <c:pt idx="160">
                  <c:v>42530</c:v>
                </c:pt>
                <c:pt idx="161">
                  <c:v>42531</c:v>
                </c:pt>
                <c:pt idx="162">
                  <c:v>42532</c:v>
                </c:pt>
                <c:pt idx="163">
                  <c:v>42533</c:v>
                </c:pt>
                <c:pt idx="164">
                  <c:v>42534</c:v>
                </c:pt>
                <c:pt idx="165">
                  <c:v>42535</c:v>
                </c:pt>
                <c:pt idx="166">
                  <c:v>42536</c:v>
                </c:pt>
                <c:pt idx="167">
                  <c:v>42537</c:v>
                </c:pt>
                <c:pt idx="168">
                  <c:v>42538</c:v>
                </c:pt>
                <c:pt idx="169">
                  <c:v>42539</c:v>
                </c:pt>
                <c:pt idx="170">
                  <c:v>42540</c:v>
                </c:pt>
                <c:pt idx="171">
                  <c:v>42541</c:v>
                </c:pt>
                <c:pt idx="172">
                  <c:v>42542</c:v>
                </c:pt>
                <c:pt idx="173">
                  <c:v>42543</c:v>
                </c:pt>
                <c:pt idx="174">
                  <c:v>42544</c:v>
                </c:pt>
                <c:pt idx="175">
                  <c:v>42545</c:v>
                </c:pt>
                <c:pt idx="176">
                  <c:v>42546</c:v>
                </c:pt>
                <c:pt idx="177">
                  <c:v>42547</c:v>
                </c:pt>
                <c:pt idx="178">
                  <c:v>42548</c:v>
                </c:pt>
                <c:pt idx="179">
                  <c:v>42549</c:v>
                </c:pt>
                <c:pt idx="180">
                  <c:v>42550</c:v>
                </c:pt>
                <c:pt idx="181">
                  <c:v>42551</c:v>
                </c:pt>
                <c:pt idx="182">
                  <c:v>42552</c:v>
                </c:pt>
                <c:pt idx="183">
                  <c:v>42553</c:v>
                </c:pt>
                <c:pt idx="184">
                  <c:v>42554</c:v>
                </c:pt>
                <c:pt idx="185">
                  <c:v>42555</c:v>
                </c:pt>
                <c:pt idx="186">
                  <c:v>42556</c:v>
                </c:pt>
                <c:pt idx="187">
                  <c:v>42557</c:v>
                </c:pt>
                <c:pt idx="188">
                  <c:v>42558</c:v>
                </c:pt>
                <c:pt idx="189">
                  <c:v>42559</c:v>
                </c:pt>
                <c:pt idx="190">
                  <c:v>42560</c:v>
                </c:pt>
                <c:pt idx="191">
                  <c:v>42561</c:v>
                </c:pt>
                <c:pt idx="192">
                  <c:v>42562</c:v>
                </c:pt>
                <c:pt idx="193">
                  <c:v>42563</c:v>
                </c:pt>
                <c:pt idx="194">
                  <c:v>42564</c:v>
                </c:pt>
                <c:pt idx="195">
                  <c:v>42565</c:v>
                </c:pt>
                <c:pt idx="196">
                  <c:v>42566</c:v>
                </c:pt>
                <c:pt idx="197">
                  <c:v>42567</c:v>
                </c:pt>
                <c:pt idx="198">
                  <c:v>42568</c:v>
                </c:pt>
                <c:pt idx="199">
                  <c:v>42569</c:v>
                </c:pt>
                <c:pt idx="200">
                  <c:v>42570</c:v>
                </c:pt>
                <c:pt idx="201">
                  <c:v>42571</c:v>
                </c:pt>
                <c:pt idx="202">
                  <c:v>42572</c:v>
                </c:pt>
                <c:pt idx="203">
                  <c:v>42573</c:v>
                </c:pt>
                <c:pt idx="204">
                  <c:v>42574</c:v>
                </c:pt>
                <c:pt idx="205">
                  <c:v>42575</c:v>
                </c:pt>
                <c:pt idx="206">
                  <c:v>42576</c:v>
                </c:pt>
                <c:pt idx="207">
                  <c:v>42577</c:v>
                </c:pt>
                <c:pt idx="208">
                  <c:v>42578</c:v>
                </c:pt>
                <c:pt idx="209">
                  <c:v>42579</c:v>
                </c:pt>
                <c:pt idx="210">
                  <c:v>42580</c:v>
                </c:pt>
                <c:pt idx="211">
                  <c:v>42581</c:v>
                </c:pt>
                <c:pt idx="212">
                  <c:v>42582</c:v>
                </c:pt>
                <c:pt idx="213">
                  <c:v>42583</c:v>
                </c:pt>
                <c:pt idx="214">
                  <c:v>42584</c:v>
                </c:pt>
                <c:pt idx="215">
                  <c:v>42585</c:v>
                </c:pt>
                <c:pt idx="216">
                  <c:v>42586</c:v>
                </c:pt>
                <c:pt idx="217">
                  <c:v>42587</c:v>
                </c:pt>
                <c:pt idx="218">
                  <c:v>42588</c:v>
                </c:pt>
                <c:pt idx="219">
                  <c:v>42589</c:v>
                </c:pt>
                <c:pt idx="220">
                  <c:v>42590</c:v>
                </c:pt>
                <c:pt idx="221">
                  <c:v>42591</c:v>
                </c:pt>
                <c:pt idx="222">
                  <c:v>42592</c:v>
                </c:pt>
                <c:pt idx="223">
                  <c:v>42593</c:v>
                </c:pt>
                <c:pt idx="224">
                  <c:v>42594</c:v>
                </c:pt>
                <c:pt idx="225">
                  <c:v>42595</c:v>
                </c:pt>
                <c:pt idx="226">
                  <c:v>42596</c:v>
                </c:pt>
                <c:pt idx="227">
                  <c:v>42597</c:v>
                </c:pt>
                <c:pt idx="228">
                  <c:v>42598</c:v>
                </c:pt>
                <c:pt idx="229">
                  <c:v>42599</c:v>
                </c:pt>
                <c:pt idx="230">
                  <c:v>42600</c:v>
                </c:pt>
                <c:pt idx="231">
                  <c:v>42601</c:v>
                </c:pt>
                <c:pt idx="232">
                  <c:v>42602</c:v>
                </c:pt>
                <c:pt idx="233">
                  <c:v>42603</c:v>
                </c:pt>
                <c:pt idx="234">
                  <c:v>42604</c:v>
                </c:pt>
                <c:pt idx="235">
                  <c:v>42605</c:v>
                </c:pt>
                <c:pt idx="236">
                  <c:v>42606</c:v>
                </c:pt>
                <c:pt idx="237">
                  <c:v>42607</c:v>
                </c:pt>
                <c:pt idx="238">
                  <c:v>42608</c:v>
                </c:pt>
                <c:pt idx="239">
                  <c:v>42609</c:v>
                </c:pt>
                <c:pt idx="240">
                  <c:v>42610</c:v>
                </c:pt>
                <c:pt idx="241">
                  <c:v>42611</c:v>
                </c:pt>
                <c:pt idx="242">
                  <c:v>42612</c:v>
                </c:pt>
                <c:pt idx="243">
                  <c:v>42613</c:v>
                </c:pt>
                <c:pt idx="244">
                  <c:v>42614</c:v>
                </c:pt>
                <c:pt idx="245">
                  <c:v>42615</c:v>
                </c:pt>
                <c:pt idx="246">
                  <c:v>42616</c:v>
                </c:pt>
                <c:pt idx="247">
                  <c:v>42617</c:v>
                </c:pt>
                <c:pt idx="248">
                  <c:v>42618</c:v>
                </c:pt>
                <c:pt idx="249">
                  <c:v>42619</c:v>
                </c:pt>
                <c:pt idx="250">
                  <c:v>42620</c:v>
                </c:pt>
                <c:pt idx="251">
                  <c:v>42621</c:v>
                </c:pt>
                <c:pt idx="252">
                  <c:v>42622</c:v>
                </c:pt>
                <c:pt idx="253">
                  <c:v>42623</c:v>
                </c:pt>
                <c:pt idx="254">
                  <c:v>42624</c:v>
                </c:pt>
                <c:pt idx="255">
                  <c:v>42625</c:v>
                </c:pt>
                <c:pt idx="256">
                  <c:v>42626</c:v>
                </c:pt>
                <c:pt idx="257">
                  <c:v>42627</c:v>
                </c:pt>
                <c:pt idx="258">
                  <c:v>42628</c:v>
                </c:pt>
                <c:pt idx="259">
                  <c:v>42629</c:v>
                </c:pt>
                <c:pt idx="260">
                  <c:v>42630</c:v>
                </c:pt>
                <c:pt idx="261">
                  <c:v>42631</c:v>
                </c:pt>
                <c:pt idx="262">
                  <c:v>42632</c:v>
                </c:pt>
                <c:pt idx="263">
                  <c:v>42633</c:v>
                </c:pt>
                <c:pt idx="264">
                  <c:v>42634</c:v>
                </c:pt>
                <c:pt idx="265">
                  <c:v>42635</c:v>
                </c:pt>
                <c:pt idx="266">
                  <c:v>42636</c:v>
                </c:pt>
                <c:pt idx="267">
                  <c:v>42637</c:v>
                </c:pt>
                <c:pt idx="268">
                  <c:v>42638</c:v>
                </c:pt>
                <c:pt idx="269">
                  <c:v>42639</c:v>
                </c:pt>
                <c:pt idx="270">
                  <c:v>42640</c:v>
                </c:pt>
                <c:pt idx="271">
                  <c:v>42641</c:v>
                </c:pt>
                <c:pt idx="272">
                  <c:v>42642</c:v>
                </c:pt>
                <c:pt idx="273">
                  <c:v>42643</c:v>
                </c:pt>
                <c:pt idx="274">
                  <c:v>42644</c:v>
                </c:pt>
                <c:pt idx="275">
                  <c:v>42645</c:v>
                </c:pt>
                <c:pt idx="276">
                  <c:v>42646</c:v>
                </c:pt>
                <c:pt idx="277">
                  <c:v>42647</c:v>
                </c:pt>
                <c:pt idx="278">
                  <c:v>42648</c:v>
                </c:pt>
                <c:pt idx="279">
                  <c:v>42649</c:v>
                </c:pt>
                <c:pt idx="280">
                  <c:v>42650</c:v>
                </c:pt>
                <c:pt idx="281">
                  <c:v>42651</c:v>
                </c:pt>
                <c:pt idx="282">
                  <c:v>42652</c:v>
                </c:pt>
                <c:pt idx="283">
                  <c:v>42653</c:v>
                </c:pt>
                <c:pt idx="284">
                  <c:v>42654</c:v>
                </c:pt>
                <c:pt idx="285">
                  <c:v>42655</c:v>
                </c:pt>
                <c:pt idx="286">
                  <c:v>42656</c:v>
                </c:pt>
                <c:pt idx="287">
                  <c:v>42657</c:v>
                </c:pt>
                <c:pt idx="288">
                  <c:v>42658</c:v>
                </c:pt>
                <c:pt idx="289">
                  <c:v>42659</c:v>
                </c:pt>
                <c:pt idx="290">
                  <c:v>42660</c:v>
                </c:pt>
                <c:pt idx="291">
                  <c:v>42661</c:v>
                </c:pt>
                <c:pt idx="292">
                  <c:v>42662</c:v>
                </c:pt>
                <c:pt idx="293">
                  <c:v>42663</c:v>
                </c:pt>
                <c:pt idx="294">
                  <c:v>42664</c:v>
                </c:pt>
                <c:pt idx="295">
                  <c:v>42665</c:v>
                </c:pt>
                <c:pt idx="296">
                  <c:v>42666</c:v>
                </c:pt>
                <c:pt idx="297">
                  <c:v>42667</c:v>
                </c:pt>
                <c:pt idx="298">
                  <c:v>42668</c:v>
                </c:pt>
                <c:pt idx="299">
                  <c:v>42669</c:v>
                </c:pt>
                <c:pt idx="300">
                  <c:v>42670</c:v>
                </c:pt>
                <c:pt idx="301">
                  <c:v>42671</c:v>
                </c:pt>
                <c:pt idx="302">
                  <c:v>42672</c:v>
                </c:pt>
                <c:pt idx="303">
                  <c:v>42673</c:v>
                </c:pt>
                <c:pt idx="304">
                  <c:v>42674</c:v>
                </c:pt>
                <c:pt idx="305">
                  <c:v>42675</c:v>
                </c:pt>
                <c:pt idx="306">
                  <c:v>42676</c:v>
                </c:pt>
                <c:pt idx="307">
                  <c:v>42677</c:v>
                </c:pt>
                <c:pt idx="308">
                  <c:v>42678</c:v>
                </c:pt>
                <c:pt idx="309">
                  <c:v>42679</c:v>
                </c:pt>
                <c:pt idx="310">
                  <c:v>42680</c:v>
                </c:pt>
                <c:pt idx="311">
                  <c:v>42681</c:v>
                </c:pt>
                <c:pt idx="312">
                  <c:v>42682</c:v>
                </c:pt>
                <c:pt idx="313">
                  <c:v>42683</c:v>
                </c:pt>
                <c:pt idx="314">
                  <c:v>42684</c:v>
                </c:pt>
                <c:pt idx="315">
                  <c:v>42685</c:v>
                </c:pt>
                <c:pt idx="316">
                  <c:v>42686</c:v>
                </c:pt>
                <c:pt idx="317">
                  <c:v>42687</c:v>
                </c:pt>
                <c:pt idx="318">
                  <c:v>42688</c:v>
                </c:pt>
                <c:pt idx="319">
                  <c:v>42689</c:v>
                </c:pt>
                <c:pt idx="320">
                  <c:v>42690</c:v>
                </c:pt>
                <c:pt idx="321">
                  <c:v>42691</c:v>
                </c:pt>
                <c:pt idx="322">
                  <c:v>42692</c:v>
                </c:pt>
                <c:pt idx="323">
                  <c:v>42693</c:v>
                </c:pt>
                <c:pt idx="324">
                  <c:v>42694</c:v>
                </c:pt>
                <c:pt idx="325">
                  <c:v>42695</c:v>
                </c:pt>
                <c:pt idx="326">
                  <c:v>42696</c:v>
                </c:pt>
                <c:pt idx="327">
                  <c:v>42697</c:v>
                </c:pt>
                <c:pt idx="328">
                  <c:v>42698</c:v>
                </c:pt>
                <c:pt idx="329">
                  <c:v>42699</c:v>
                </c:pt>
                <c:pt idx="330">
                  <c:v>42700</c:v>
                </c:pt>
                <c:pt idx="331">
                  <c:v>42701</c:v>
                </c:pt>
                <c:pt idx="332">
                  <c:v>42702</c:v>
                </c:pt>
                <c:pt idx="333">
                  <c:v>42703</c:v>
                </c:pt>
                <c:pt idx="334">
                  <c:v>42704</c:v>
                </c:pt>
                <c:pt idx="335">
                  <c:v>42705</c:v>
                </c:pt>
                <c:pt idx="336">
                  <c:v>42706</c:v>
                </c:pt>
                <c:pt idx="337">
                  <c:v>42707</c:v>
                </c:pt>
                <c:pt idx="338">
                  <c:v>42708</c:v>
                </c:pt>
                <c:pt idx="339">
                  <c:v>42709</c:v>
                </c:pt>
                <c:pt idx="340">
                  <c:v>42710</c:v>
                </c:pt>
                <c:pt idx="341">
                  <c:v>42711</c:v>
                </c:pt>
                <c:pt idx="342">
                  <c:v>42712</c:v>
                </c:pt>
                <c:pt idx="343">
                  <c:v>42713</c:v>
                </c:pt>
                <c:pt idx="344">
                  <c:v>42714</c:v>
                </c:pt>
                <c:pt idx="345">
                  <c:v>42715</c:v>
                </c:pt>
                <c:pt idx="346">
                  <c:v>42716</c:v>
                </c:pt>
                <c:pt idx="347">
                  <c:v>42717</c:v>
                </c:pt>
                <c:pt idx="348">
                  <c:v>42718</c:v>
                </c:pt>
                <c:pt idx="349">
                  <c:v>42719</c:v>
                </c:pt>
                <c:pt idx="350">
                  <c:v>42720</c:v>
                </c:pt>
                <c:pt idx="351">
                  <c:v>42721</c:v>
                </c:pt>
                <c:pt idx="352">
                  <c:v>42722</c:v>
                </c:pt>
                <c:pt idx="353">
                  <c:v>42723</c:v>
                </c:pt>
                <c:pt idx="354">
                  <c:v>42724</c:v>
                </c:pt>
                <c:pt idx="355">
                  <c:v>42725</c:v>
                </c:pt>
                <c:pt idx="356">
                  <c:v>42726</c:v>
                </c:pt>
                <c:pt idx="357">
                  <c:v>42727</c:v>
                </c:pt>
                <c:pt idx="358">
                  <c:v>42728</c:v>
                </c:pt>
                <c:pt idx="359">
                  <c:v>42729</c:v>
                </c:pt>
                <c:pt idx="360">
                  <c:v>42730</c:v>
                </c:pt>
                <c:pt idx="361">
                  <c:v>42731</c:v>
                </c:pt>
                <c:pt idx="362">
                  <c:v>42732</c:v>
                </c:pt>
                <c:pt idx="363">
                  <c:v>42733</c:v>
                </c:pt>
                <c:pt idx="364">
                  <c:v>42734</c:v>
                </c:pt>
                <c:pt idx="365">
                  <c:v>42735</c:v>
                </c:pt>
                <c:pt idx="366">
                  <c:v>42736</c:v>
                </c:pt>
                <c:pt idx="367">
                  <c:v>42737</c:v>
                </c:pt>
                <c:pt idx="368">
                  <c:v>42738</c:v>
                </c:pt>
                <c:pt idx="369">
                  <c:v>42739</c:v>
                </c:pt>
                <c:pt idx="370">
                  <c:v>42740</c:v>
                </c:pt>
                <c:pt idx="371">
                  <c:v>42741</c:v>
                </c:pt>
                <c:pt idx="372">
                  <c:v>42742</c:v>
                </c:pt>
                <c:pt idx="373">
                  <c:v>42743</c:v>
                </c:pt>
                <c:pt idx="374">
                  <c:v>42744</c:v>
                </c:pt>
                <c:pt idx="375">
                  <c:v>42745</c:v>
                </c:pt>
                <c:pt idx="376">
                  <c:v>42746</c:v>
                </c:pt>
                <c:pt idx="377">
                  <c:v>42747</c:v>
                </c:pt>
                <c:pt idx="378">
                  <c:v>42748</c:v>
                </c:pt>
                <c:pt idx="379">
                  <c:v>42749</c:v>
                </c:pt>
                <c:pt idx="380">
                  <c:v>42750</c:v>
                </c:pt>
                <c:pt idx="381">
                  <c:v>42751</c:v>
                </c:pt>
                <c:pt idx="382">
                  <c:v>42752</c:v>
                </c:pt>
                <c:pt idx="383">
                  <c:v>42753</c:v>
                </c:pt>
                <c:pt idx="384">
                  <c:v>42754</c:v>
                </c:pt>
                <c:pt idx="385">
                  <c:v>42755</c:v>
                </c:pt>
                <c:pt idx="386">
                  <c:v>42756</c:v>
                </c:pt>
                <c:pt idx="387">
                  <c:v>42757</c:v>
                </c:pt>
                <c:pt idx="388">
                  <c:v>42758</c:v>
                </c:pt>
                <c:pt idx="389">
                  <c:v>42759</c:v>
                </c:pt>
                <c:pt idx="390">
                  <c:v>42760</c:v>
                </c:pt>
                <c:pt idx="391">
                  <c:v>42761</c:v>
                </c:pt>
                <c:pt idx="392">
                  <c:v>42762</c:v>
                </c:pt>
                <c:pt idx="393">
                  <c:v>42763</c:v>
                </c:pt>
                <c:pt idx="394">
                  <c:v>42764</c:v>
                </c:pt>
                <c:pt idx="395">
                  <c:v>42765</c:v>
                </c:pt>
                <c:pt idx="396">
                  <c:v>42766</c:v>
                </c:pt>
                <c:pt idx="397">
                  <c:v>42767</c:v>
                </c:pt>
                <c:pt idx="398">
                  <c:v>42768</c:v>
                </c:pt>
                <c:pt idx="399">
                  <c:v>42769</c:v>
                </c:pt>
                <c:pt idx="400">
                  <c:v>42770</c:v>
                </c:pt>
                <c:pt idx="401">
                  <c:v>42771</c:v>
                </c:pt>
                <c:pt idx="402">
                  <c:v>42772</c:v>
                </c:pt>
                <c:pt idx="403">
                  <c:v>42773</c:v>
                </c:pt>
                <c:pt idx="404">
                  <c:v>42774</c:v>
                </c:pt>
                <c:pt idx="405">
                  <c:v>42775</c:v>
                </c:pt>
                <c:pt idx="406">
                  <c:v>42776</c:v>
                </c:pt>
                <c:pt idx="407">
                  <c:v>42777</c:v>
                </c:pt>
                <c:pt idx="408">
                  <c:v>42778</c:v>
                </c:pt>
                <c:pt idx="409">
                  <c:v>42779</c:v>
                </c:pt>
                <c:pt idx="410">
                  <c:v>42780</c:v>
                </c:pt>
                <c:pt idx="411">
                  <c:v>42781</c:v>
                </c:pt>
                <c:pt idx="412">
                  <c:v>42782</c:v>
                </c:pt>
                <c:pt idx="413">
                  <c:v>42783</c:v>
                </c:pt>
                <c:pt idx="414">
                  <c:v>42784</c:v>
                </c:pt>
                <c:pt idx="415">
                  <c:v>42785</c:v>
                </c:pt>
                <c:pt idx="416">
                  <c:v>42786</c:v>
                </c:pt>
                <c:pt idx="417">
                  <c:v>42787</c:v>
                </c:pt>
                <c:pt idx="418">
                  <c:v>42788</c:v>
                </c:pt>
                <c:pt idx="419">
                  <c:v>42789</c:v>
                </c:pt>
                <c:pt idx="420">
                  <c:v>42790</c:v>
                </c:pt>
                <c:pt idx="421">
                  <c:v>42791</c:v>
                </c:pt>
                <c:pt idx="422">
                  <c:v>42792</c:v>
                </c:pt>
                <c:pt idx="423">
                  <c:v>42793</c:v>
                </c:pt>
                <c:pt idx="424">
                  <c:v>42794</c:v>
                </c:pt>
                <c:pt idx="425">
                  <c:v>42795</c:v>
                </c:pt>
                <c:pt idx="426">
                  <c:v>42796</c:v>
                </c:pt>
                <c:pt idx="427">
                  <c:v>42797</c:v>
                </c:pt>
                <c:pt idx="428">
                  <c:v>42798</c:v>
                </c:pt>
                <c:pt idx="429">
                  <c:v>42799</c:v>
                </c:pt>
                <c:pt idx="430">
                  <c:v>42800</c:v>
                </c:pt>
                <c:pt idx="431">
                  <c:v>42801</c:v>
                </c:pt>
                <c:pt idx="432">
                  <c:v>42802</c:v>
                </c:pt>
                <c:pt idx="433">
                  <c:v>42803</c:v>
                </c:pt>
                <c:pt idx="434">
                  <c:v>42804</c:v>
                </c:pt>
                <c:pt idx="435">
                  <c:v>42805</c:v>
                </c:pt>
                <c:pt idx="436">
                  <c:v>42806</c:v>
                </c:pt>
                <c:pt idx="437">
                  <c:v>42807</c:v>
                </c:pt>
                <c:pt idx="438">
                  <c:v>42808</c:v>
                </c:pt>
                <c:pt idx="439">
                  <c:v>42809</c:v>
                </c:pt>
                <c:pt idx="440">
                  <c:v>42810</c:v>
                </c:pt>
                <c:pt idx="441">
                  <c:v>42811</c:v>
                </c:pt>
                <c:pt idx="442">
                  <c:v>42812</c:v>
                </c:pt>
                <c:pt idx="443">
                  <c:v>42813</c:v>
                </c:pt>
                <c:pt idx="444">
                  <c:v>42814</c:v>
                </c:pt>
                <c:pt idx="445">
                  <c:v>42815</c:v>
                </c:pt>
                <c:pt idx="446">
                  <c:v>42816</c:v>
                </c:pt>
                <c:pt idx="447">
                  <c:v>42817</c:v>
                </c:pt>
                <c:pt idx="448">
                  <c:v>42818</c:v>
                </c:pt>
                <c:pt idx="449">
                  <c:v>42819</c:v>
                </c:pt>
                <c:pt idx="450">
                  <c:v>42820</c:v>
                </c:pt>
                <c:pt idx="451">
                  <c:v>42821</c:v>
                </c:pt>
                <c:pt idx="452">
                  <c:v>42822</c:v>
                </c:pt>
                <c:pt idx="453">
                  <c:v>42823</c:v>
                </c:pt>
                <c:pt idx="454">
                  <c:v>42824</c:v>
                </c:pt>
                <c:pt idx="455">
                  <c:v>42825</c:v>
                </c:pt>
                <c:pt idx="456">
                  <c:v>42826</c:v>
                </c:pt>
                <c:pt idx="457">
                  <c:v>42827</c:v>
                </c:pt>
                <c:pt idx="458">
                  <c:v>42828</c:v>
                </c:pt>
                <c:pt idx="459">
                  <c:v>42829</c:v>
                </c:pt>
                <c:pt idx="460">
                  <c:v>42830</c:v>
                </c:pt>
                <c:pt idx="461">
                  <c:v>42831</c:v>
                </c:pt>
                <c:pt idx="462">
                  <c:v>42832</c:v>
                </c:pt>
                <c:pt idx="463">
                  <c:v>42833</c:v>
                </c:pt>
                <c:pt idx="464">
                  <c:v>42834</c:v>
                </c:pt>
                <c:pt idx="465">
                  <c:v>42835</c:v>
                </c:pt>
                <c:pt idx="466">
                  <c:v>42836</c:v>
                </c:pt>
                <c:pt idx="467">
                  <c:v>42837</c:v>
                </c:pt>
                <c:pt idx="468">
                  <c:v>42838</c:v>
                </c:pt>
                <c:pt idx="469">
                  <c:v>42839</c:v>
                </c:pt>
                <c:pt idx="470">
                  <c:v>42840</c:v>
                </c:pt>
                <c:pt idx="471">
                  <c:v>42841</c:v>
                </c:pt>
                <c:pt idx="472">
                  <c:v>42842</c:v>
                </c:pt>
                <c:pt idx="473">
                  <c:v>42843</c:v>
                </c:pt>
                <c:pt idx="474">
                  <c:v>42844</c:v>
                </c:pt>
                <c:pt idx="475">
                  <c:v>42845</c:v>
                </c:pt>
                <c:pt idx="476">
                  <c:v>42846</c:v>
                </c:pt>
                <c:pt idx="477">
                  <c:v>42847</c:v>
                </c:pt>
                <c:pt idx="478">
                  <c:v>42848</c:v>
                </c:pt>
                <c:pt idx="479">
                  <c:v>42849</c:v>
                </c:pt>
                <c:pt idx="480">
                  <c:v>42850</c:v>
                </c:pt>
                <c:pt idx="481">
                  <c:v>42851</c:v>
                </c:pt>
                <c:pt idx="482">
                  <c:v>42852</c:v>
                </c:pt>
                <c:pt idx="483">
                  <c:v>42853</c:v>
                </c:pt>
                <c:pt idx="484">
                  <c:v>42854</c:v>
                </c:pt>
                <c:pt idx="485">
                  <c:v>42855</c:v>
                </c:pt>
                <c:pt idx="486">
                  <c:v>42856</c:v>
                </c:pt>
                <c:pt idx="487">
                  <c:v>42857</c:v>
                </c:pt>
                <c:pt idx="488">
                  <c:v>42858</c:v>
                </c:pt>
                <c:pt idx="489">
                  <c:v>42859</c:v>
                </c:pt>
                <c:pt idx="490">
                  <c:v>42860</c:v>
                </c:pt>
                <c:pt idx="491">
                  <c:v>42861</c:v>
                </c:pt>
                <c:pt idx="492">
                  <c:v>42862</c:v>
                </c:pt>
                <c:pt idx="493">
                  <c:v>42863</c:v>
                </c:pt>
                <c:pt idx="494">
                  <c:v>42864</c:v>
                </c:pt>
                <c:pt idx="495">
                  <c:v>42865</c:v>
                </c:pt>
                <c:pt idx="496">
                  <c:v>42866</c:v>
                </c:pt>
                <c:pt idx="497">
                  <c:v>42867</c:v>
                </c:pt>
                <c:pt idx="498">
                  <c:v>42868</c:v>
                </c:pt>
                <c:pt idx="499">
                  <c:v>42869</c:v>
                </c:pt>
                <c:pt idx="500">
                  <c:v>42870</c:v>
                </c:pt>
                <c:pt idx="501">
                  <c:v>42871</c:v>
                </c:pt>
                <c:pt idx="502">
                  <c:v>42872</c:v>
                </c:pt>
                <c:pt idx="503">
                  <c:v>42873</c:v>
                </c:pt>
                <c:pt idx="504">
                  <c:v>42874</c:v>
                </c:pt>
                <c:pt idx="505">
                  <c:v>42875</c:v>
                </c:pt>
                <c:pt idx="506">
                  <c:v>42876</c:v>
                </c:pt>
                <c:pt idx="507">
                  <c:v>42877</c:v>
                </c:pt>
                <c:pt idx="508">
                  <c:v>42878</c:v>
                </c:pt>
                <c:pt idx="509">
                  <c:v>42879</c:v>
                </c:pt>
                <c:pt idx="510">
                  <c:v>42880</c:v>
                </c:pt>
                <c:pt idx="511">
                  <c:v>42881</c:v>
                </c:pt>
                <c:pt idx="512">
                  <c:v>42882</c:v>
                </c:pt>
                <c:pt idx="513">
                  <c:v>42883</c:v>
                </c:pt>
                <c:pt idx="514">
                  <c:v>42884</c:v>
                </c:pt>
                <c:pt idx="515">
                  <c:v>42885</c:v>
                </c:pt>
                <c:pt idx="516">
                  <c:v>42886</c:v>
                </c:pt>
                <c:pt idx="517">
                  <c:v>42887</c:v>
                </c:pt>
                <c:pt idx="518">
                  <c:v>42888</c:v>
                </c:pt>
                <c:pt idx="519">
                  <c:v>42889</c:v>
                </c:pt>
                <c:pt idx="520">
                  <c:v>42890</c:v>
                </c:pt>
                <c:pt idx="521">
                  <c:v>42891</c:v>
                </c:pt>
                <c:pt idx="522">
                  <c:v>42892</c:v>
                </c:pt>
                <c:pt idx="523">
                  <c:v>42893</c:v>
                </c:pt>
                <c:pt idx="524">
                  <c:v>42894</c:v>
                </c:pt>
                <c:pt idx="525">
                  <c:v>42895</c:v>
                </c:pt>
                <c:pt idx="526">
                  <c:v>42896</c:v>
                </c:pt>
                <c:pt idx="527">
                  <c:v>42897</c:v>
                </c:pt>
                <c:pt idx="528">
                  <c:v>42898</c:v>
                </c:pt>
                <c:pt idx="529">
                  <c:v>42899</c:v>
                </c:pt>
                <c:pt idx="530">
                  <c:v>42900</c:v>
                </c:pt>
                <c:pt idx="531">
                  <c:v>42901</c:v>
                </c:pt>
                <c:pt idx="532">
                  <c:v>42902</c:v>
                </c:pt>
                <c:pt idx="533">
                  <c:v>42903</c:v>
                </c:pt>
                <c:pt idx="534">
                  <c:v>42904</c:v>
                </c:pt>
                <c:pt idx="535">
                  <c:v>42905</c:v>
                </c:pt>
                <c:pt idx="536">
                  <c:v>42906</c:v>
                </c:pt>
                <c:pt idx="537">
                  <c:v>42907</c:v>
                </c:pt>
                <c:pt idx="538">
                  <c:v>42908</c:v>
                </c:pt>
                <c:pt idx="539">
                  <c:v>42909</c:v>
                </c:pt>
                <c:pt idx="540">
                  <c:v>42910</c:v>
                </c:pt>
                <c:pt idx="541">
                  <c:v>42911</c:v>
                </c:pt>
                <c:pt idx="542">
                  <c:v>42912</c:v>
                </c:pt>
                <c:pt idx="543">
                  <c:v>42913</c:v>
                </c:pt>
                <c:pt idx="544">
                  <c:v>42914</c:v>
                </c:pt>
                <c:pt idx="545">
                  <c:v>42915</c:v>
                </c:pt>
                <c:pt idx="546">
                  <c:v>42916</c:v>
                </c:pt>
                <c:pt idx="547">
                  <c:v>42917</c:v>
                </c:pt>
                <c:pt idx="548">
                  <c:v>42918</c:v>
                </c:pt>
                <c:pt idx="549">
                  <c:v>42919</c:v>
                </c:pt>
                <c:pt idx="550">
                  <c:v>42920</c:v>
                </c:pt>
                <c:pt idx="551">
                  <c:v>42921</c:v>
                </c:pt>
                <c:pt idx="552">
                  <c:v>42922</c:v>
                </c:pt>
                <c:pt idx="553">
                  <c:v>42923</c:v>
                </c:pt>
                <c:pt idx="554">
                  <c:v>42924</c:v>
                </c:pt>
                <c:pt idx="555">
                  <c:v>42925</c:v>
                </c:pt>
                <c:pt idx="556">
                  <c:v>42926</c:v>
                </c:pt>
                <c:pt idx="557">
                  <c:v>42927</c:v>
                </c:pt>
                <c:pt idx="558">
                  <c:v>42928</c:v>
                </c:pt>
                <c:pt idx="559">
                  <c:v>42929</c:v>
                </c:pt>
                <c:pt idx="560">
                  <c:v>42930</c:v>
                </c:pt>
                <c:pt idx="561">
                  <c:v>42931</c:v>
                </c:pt>
                <c:pt idx="562">
                  <c:v>42932</c:v>
                </c:pt>
                <c:pt idx="563">
                  <c:v>42933</c:v>
                </c:pt>
                <c:pt idx="564">
                  <c:v>42934</c:v>
                </c:pt>
                <c:pt idx="565">
                  <c:v>42935</c:v>
                </c:pt>
                <c:pt idx="566">
                  <c:v>42936</c:v>
                </c:pt>
                <c:pt idx="567">
                  <c:v>42937</c:v>
                </c:pt>
                <c:pt idx="568">
                  <c:v>42938</c:v>
                </c:pt>
                <c:pt idx="569">
                  <c:v>42939</c:v>
                </c:pt>
                <c:pt idx="570">
                  <c:v>42940</c:v>
                </c:pt>
                <c:pt idx="571">
                  <c:v>42941</c:v>
                </c:pt>
                <c:pt idx="572">
                  <c:v>42942</c:v>
                </c:pt>
                <c:pt idx="573">
                  <c:v>42943</c:v>
                </c:pt>
                <c:pt idx="574">
                  <c:v>42944</c:v>
                </c:pt>
                <c:pt idx="575">
                  <c:v>42945</c:v>
                </c:pt>
                <c:pt idx="576">
                  <c:v>42946</c:v>
                </c:pt>
                <c:pt idx="577">
                  <c:v>42947</c:v>
                </c:pt>
                <c:pt idx="578">
                  <c:v>42948</c:v>
                </c:pt>
                <c:pt idx="579">
                  <c:v>42949</c:v>
                </c:pt>
                <c:pt idx="580">
                  <c:v>42950</c:v>
                </c:pt>
                <c:pt idx="581">
                  <c:v>42951</c:v>
                </c:pt>
                <c:pt idx="582">
                  <c:v>42952</c:v>
                </c:pt>
                <c:pt idx="583">
                  <c:v>42953</c:v>
                </c:pt>
                <c:pt idx="584">
                  <c:v>42954</c:v>
                </c:pt>
                <c:pt idx="585">
                  <c:v>42955</c:v>
                </c:pt>
                <c:pt idx="586">
                  <c:v>42956</c:v>
                </c:pt>
                <c:pt idx="587">
                  <c:v>42957</c:v>
                </c:pt>
                <c:pt idx="588">
                  <c:v>42958</c:v>
                </c:pt>
                <c:pt idx="589">
                  <c:v>42959</c:v>
                </c:pt>
                <c:pt idx="590">
                  <c:v>42960</c:v>
                </c:pt>
                <c:pt idx="591">
                  <c:v>42961</c:v>
                </c:pt>
                <c:pt idx="592">
                  <c:v>42962</c:v>
                </c:pt>
                <c:pt idx="593">
                  <c:v>42963</c:v>
                </c:pt>
                <c:pt idx="594">
                  <c:v>42964</c:v>
                </c:pt>
                <c:pt idx="595">
                  <c:v>42965</c:v>
                </c:pt>
                <c:pt idx="596">
                  <c:v>42966</c:v>
                </c:pt>
                <c:pt idx="597">
                  <c:v>42967</c:v>
                </c:pt>
                <c:pt idx="598">
                  <c:v>42968</c:v>
                </c:pt>
                <c:pt idx="599">
                  <c:v>42969</c:v>
                </c:pt>
                <c:pt idx="600">
                  <c:v>42970</c:v>
                </c:pt>
                <c:pt idx="601">
                  <c:v>42971</c:v>
                </c:pt>
                <c:pt idx="602">
                  <c:v>42972</c:v>
                </c:pt>
                <c:pt idx="603">
                  <c:v>42973</c:v>
                </c:pt>
                <c:pt idx="604">
                  <c:v>42974</c:v>
                </c:pt>
                <c:pt idx="605">
                  <c:v>42975</c:v>
                </c:pt>
                <c:pt idx="606">
                  <c:v>42976</c:v>
                </c:pt>
                <c:pt idx="607">
                  <c:v>42977</c:v>
                </c:pt>
                <c:pt idx="608">
                  <c:v>42978</c:v>
                </c:pt>
                <c:pt idx="609">
                  <c:v>42979</c:v>
                </c:pt>
                <c:pt idx="610">
                  <c:v>42980</c:v>
                </c:pt>
                <c:pt idx="611">
                  <c:v>42981</c:v>
                </c:pt>
                <c:pt idx="612">
                  <c:v>42982</c:v>
                </c:pt>
                <c:pt idx="613">
                  <c:v>42983</c:v>
                </c:pt>
                <c:pt idx="614">
                  <c:v>42984</c:v>
                </c:pt>
                <c:pt idx="615">
                  <c:v>42985</c:v>
                </c:pt>
                <c:pt idx="616">
                  <c:v>42986</c:v>
                </c:pt>
                <c:pt idx="617">
                  <c:v>42987</c:v>
                </c:pt>
                <c:pt idx="618">
                  <c:v>42988</c:v>
                </c:pt>
                <c:pt idx="619">
                  <c:v>42989</c:v>
                </c:pt>
                <c:pt idx="620">
                  <c:v>42990</c:v>
                </c:pt>
                <c:pt idx="621">
                  <c:v>42991</c:v>
                </c:pt>
                <c:pt idx="622">
                  <c:v>42992</c:v>
                </c:pt>
                <c:pt idx="623">
                  <c:v>42993</c:v>
                </c:pt>
                <c:pt idx="624">
                  <c:v>42994</c:v>
                </c:pt>
                <c:pt idx="625">
                  <c:v>42995</c:v>
                </c:pt>
                <c:pt idx="626">
                  <c:v>42996</c:v>
                </c:pt>
                <c:pt idx="627">
                  <c:v>42997</c:v>
                </c:pt>
                <c:pt idx="628">
                  <c:v>42998</c:v>
                </c:pt>
                <c:pt idx="629">
                  <c:v>42999</c:v>
                </c:pt>
                <c:pt idx="630">
                  <c:v>43000</c:v>
                </c:pt>
                <c:pt idx="631">
                  <c:v>43001</c:v>
                </c:pt>
                <c:pt idx="632">
                  <c:v>43002</c:v>
                </c:pt>
                <c:pt idx="633">
                  <c:v>43003</c:v>
                </c:pt>
                <c:pt idx="634">
                  <c:v>43004</c:v>
                </c:pt>
                <c:pt idx="635">
                  <c:v>43005</c:v>
                </c:pt>
                <c:pt idx="636">
                  <c:v>43006</c:v>
                </c:pt>
                <c:pt idx="637">
                  <c:v>43007</c:v>
                </c:pt>
                <c:pt idx="638">
                  <c:v>43008</c:v>
                </c:pt>
                <c:pt idx="639">
                  <c:v>43009</c:v>
                </c:pt>
                <c:pt idx="640">
                  <c:v>43010</c:v>
                </c:pt>
                <c:pt idx="641">
                  <c:v>43011</c:v>
                </c:pt>
                <c:pt idx="642">
                  <c:v>43012</c:v>
                </c:pt>
                <c:pt idx="643">
                  <c:v>43013</c:v>
                </c:pt>
                <c:pt idx="644">
                  <c:v>43014</c:v>
                </c:pt>
                <c:pt idx="645">
                  <c:v>43015</c:v>
                </c:pt>
                <c:pt idx="646">
                  <c:v>43016</c:v>
                </c:pt>
                <c:pt idx="647">
                  <c:v>43017</c:v>
                </c:pt>
                <c:pt idx="648">
                  <c:v>43018</c:v>
                </c:pt>
                <c:pt idx="649">
                  <c:v>43019</c:v>
                </c:pt>
                <c:pt idx="650">
                  <c:v>43020</c:v>
                </c:pt>
                <c:pt idx="651">
                  <c:v>43021</c:v>
                </c:pt>
                <c:pt idx="652">
                  <c:v>43022</c:v>
                </c:pt>
                <c:pt idx="653">
                  <c:v>43023</c:v>
                </c:pt>
                <c:pt idx="654">
                  <c:v>43024</c:v>
                </c:pt>
                <c:pt idx="655">
                  <c:v>43025</c:v>
                </c:pt>
                <c:pt idx="656">
                  <c:v>43026</c:v>
                </c:pt>
                <c:pt idx="657">
                  <c:v>43027</c:v>
                </c:pt>
                <c:pt idx="658">
                  <c:v>43028</c:v>
                </c:pt>
                <c:pt idx="659">
                  <c:v>43029</c:v>
                </c:pt>
                <c:pt idx="660">
                  <c:v>43030</c:v>
                </c:pt>
                <c:pt idx="661">
                  <c:v>43031</c:v>
                </c:pt>
                <c:pt idx="662">
                  <c:v>43032</c:v>
                </c:pt>
                <c:pt idx="663">
                  <c:v>43033</c:v>
                </c:pt>
                <c:pt idx="664">
                  <c:v>43034</c:v>
                </c:pt>
                <c:pt idx="665">
                  <c:v>43035</c:v>
                </c:pt>
                <c:pt idx="666">
                  <c:v>43036</c:v>
                </c:pt>
                <c:pt idx="667">
                  <c:v>43037</c:v>
                </c:pt>
                <c:pt idx="668">
                  <c:v>43038</c:v>
                </c:pt>
                <c:pt idx="669">
                  <c:v>43039</c:v>
                </c:pt>
                <c:pt idx="670">
                  <c:v>43040</c:v>
                </c:pt>
                <c:pt idx="671">
                  <c:v>43041</c:v>
                </c:pt>
                <c:pt idx="672">
                  <c:v>43042</c:v>
                </c:pt>
                <c:pt idx="673">
                  <c:v>43043</c:v>
                </c:pt>
                <c:pt idx="674">
                  <c:v>43044</c:v>
                </c:pt>
                <c:pt idx="675">
                  <c:v>43045</c:v>
                </c:pt>
                <c:pt idx="676">
                  <c:v>43046</c:v>
                </c:pt>
                <c:pt idx="677">
                  <c:v>43047</c:v>
                </c:pt>
                <c:pt idx="678">
                  <c:v>43048</c:v>
                </c:pt>
                <c:pt idx="679">
                  <c:v>43049</c:v>
                </c:pt>
                <c:pt idx="680">
                  <c:v>43050</c:v>
                </c:pt>
                <c:pt idx="681">
                  <c:v>43051</c:v>
                </c:pt>
                <c:pt idx="682">
                  <c:v>43052</c:v>
                </c:pt>
                <c:pt idx="683">
                  <c:v>43053</c:v>
                </c:pt>
                <c:pt idx="684">
                  <c:v>43054</c:v>
                </c:pt>
                <c:pt idx="685">
                  <c:v>43055</c:v>
                </c:pt>
                <c:pt idx="686">
                  <c:v>43056</c:v>
                </c:pt>
                <c:pt idx="687">
                  <c:v>43057</c:v>
                </c:pt>
                <c:pt idx="688">
                  <c:v>43058</c:v>
                </c:pt>
                <c:pt idx="689">
                  <c:v>43059</c:v>
                </c:pt>
                <c:pt idx="690">
                  <c:v>43060</c:v>
                </c:pt>
                <c:pt idx="691">
                  <c:v>43061</c:v>
                </c:pt>
                <c:pt idx="692">
                  <c:v>43062</c:v>
                </c:pt>
                <c:pt idx="693">
                  <c:v>43063</c:v>
                </c:pt>
                <c:pt idx="694">
                  <c:v>43064</c:v>
                </c:pt>
                <c:pt idx="695">
                  <c:v>43065</c:v>
                </c:pt>
                <c:pt idx="696">
                  <c:v>43066</c:v>
                </c:pt>
                <c:pt idx="697">
                  <c:v>43067</c:v>
                </c:pt>
                <c:pt idx="698">
                  <c:v>43068</c:v>
                </c:pt>
                <c:pt idx="699">
                  <c:v>43069</c:v>
                </c:pt>
                <c:pt idx="700">
                  <c:v>43070</c:v>
                </c:pt>
                <c:pt idx="701">
                  <c:v>43071</c:v>
                </c:pt>
                <c:pt idx="702">
                  <c:v>43072</c:v>
                </c:pt>
                <c:pt idx="703">
                  <c:v>43073</c:v>
                </c:pt>
                <c:pt idx="704">
                  <c:v>43074</c:v>
                </c:pt>
                <c:pt idx="705">
                  <c:v>43075</c:v>
                </c:pt>
                <c:pt idx="706">
                  <c:v>43076</c:v>
                </c:pt>
                <c:pt idx="707">
                  <c:v>43077</c:v>
                </c:pt>
                <c:pt idx="708">
                  <c:v>43078</c:v>
                </c:pt>
                <c:pt idx="709">
                  <c:v>43079</c:v>
                </c:pt>
                <c:pt idx="710">
                  <c:v>43080</c:v>
                </c:pt>
                <c:pt idx="711">
                  <c:v>43081</c:v>
                </c:pt>
                <c:pt idx="712">
                  <c:v>43082</c:v>
                </c:pt>
                <c:pt idx="713">
                  <c:v>43083</c:v>
                </c:pt>
                <c:pt idx="714">
                  <c:v>43084</c:v>
                </c:pt>
                <c:pt idx="715">
                  <c:v>43085</c:v>
                </c:pt>
                <c:pt idx="716">
                  <c:v>43086</c:v>
                </c:pt>
                <c:pt idx="717">
                  <c:v>43087</c:v>
                </c:pt>
                <c:pt idx="718">
                  <c:v>43088</c:v>
                </c:pt>
                <c:pt idx="719">
                  <c:v>43089</c:v>
                </c:pt>
                <c:pt idx="720">
                  <c:v>43090</c:v>
                </c:pt>
                <c:pt idx="721">
                  <c:v>43091</c:v>
                </c:pt>
                <c:pt idx="722">
                  <c:v>43092</c:v>
                </c:pt>
                <c:pt idx="723">
                  <c:v>43093</c:v>
                </c:pt>
                <c:pt idx="724">
                  <c:v>43094</c:v>
                </c:pt>
                <c:pt idx="725">
                  <c:v>43095</c:v>
                </c:pt>
                <c:pt idx="726">
                  <c:v>43096</c:v>
                </c:pt>
                <c:pt idx="727">
                  <c:v>43097</c:v>
                </c:pt>
                <c:pt idx="728">
                  <c:v>43098</c:v>
                </c:pt>
                <c:pt idx="729">
                  <c:v>43099</c:v>
                </c:pt>
                <c:pt idx="730">
                  <c:v>43100</c:v>
                </c:pt>
                <c:pt idx="731">
                  <c:v>43101</c:v>
                </c:pt>
                <c:pt idx="732">
                  <c:v>43102</c:v>
                </c:pt>
                <c:pt idx="733">
                  <c:v>43103</c:v>
                </c:pt>
                <c:pt idx="734">
                  <c:v>43104</c:v>
                </c:pt>
                <c:pt idx="735">
                  <c:v>43105</c:v>
                </c:pt>
                <c:pt idx="736">
                  <c:v>43106</c:v>
                </c:pt>
                <c:pt idx="737">
                  <c:v>43107</c:v>
                </c:pt>
                <c:pt idx="738">
                  <c:v>43108</c:v>
                </c:pt>
                <c:pt idx="739">
                  <c:v>43109</c:v>
                </c:pt>
                <c:pt idx="740">
                  <c:v>43110</c:v>
                </c:pt>
                <c:pt idx="741">
                  <c:v>43111</c:v>
                </c:pt>
                <c:pt idx="742">
                  <c:v>43112</c:v>
                </c:pt>
                <c:pt idx="743">
                  <c:v>43113</c:v>
                </c:pt>
                <c:pt idx="744">
                  <c:v>43114</c:v>
                </c:pt>
                <c:pt idx="745">
                  <c:v>43115</c:v>
                </c:pt>
                <c:pt idx="746">
                  <c:v>43116</c:v>
                </c:pt>
                <c:pt idx="747">
                  <c:v>43117</c:v>
                </c:pt>
                <c:pt idx="748">
                  <c:v>43118</c:v>
                </c:pt>
                <c:pt idx="749">
                  <c:v>43119</c:v>
                </c:pt>
                <c:pt idx="750">
                  <c:v>43120</c:v>
                </c:pt>
                <c:pt idx="751">
                  <c:v>43121</c:v>
                </c:pt>
                <c:pt idx="752">
                  <c:v>43122</c:v>
                </c:pt>
                <c:pt idx="753">
                  <c:v>43123</c:v>
                </c:pt>
                <c:pt idx="754">
                  <c:v>43124</c:v>
                </c:pt>
                <c:pt idx="755">
                  <c:v>43125</c:v>
                </c:pt>
                <c:pt idx="756">
                  <c:v>43126</c:v>
                </c:pt>
                <c:pt idx="757">
                  <c:v>43127</c:v>
                </c:pt>
                <c:pt idx="758">
                  <c:v>43128</c:v>
                </c:pt>
                <c:pt idx="759">
                  <c:v>43129</c:v>
                </c:pt>
                <c:pt idx="760">
                  <c:v>43130</c:v>
                </c:pt>
                <c:pt idx="761">
                  <c:v>43131</c:v>
                </c:pt>
                <c:pt idx="762">
                  <c:v>43132</c:v>
                </c:pt>
                <c:pt idx="763">
                  <c:v>43133</c:v>
                </c:pt>
                <c:pt idx="764">
                  <c:v>43134</c:v>
                </c:pt>
                <c:pt idx="765">
                  <c:v>43135</c:v>
                </c:pt>
                <c:pt idx="766">
                  <c:v>43136</c:v>
                </c:pt>
                <c:pt idx="767">
                  <c:v>43137</c:v>
                </c:pt>
                <c:pt idx="768">
                  <c:v>43138</c:v>
                </c:pt>
                <c:pt idx="769">
                  <c:v>43139</c:v>
                </c:pt>
                <c:pt idx="770">
                  <c:v>43140</c:v>
                </c:pt>
                <c:pt idx="771">
                  <c:v>43141</c:v>
                </c:pt>
                <c:pt idx="772">
                  <c:v>43142</c:v>
                </c:pt>
                <c:pt idx="773">
                  <c:v>43143</c:v>
                </c:pt>
                <c:pt idx="774">
                  <c:v>43144</c:v>
                </c:pt>
                <c:pt idx="775">
                  <c:v>43145</c:v>
                </c:pt>
                <c:pt idx="776">
                  <c:v>43146</c:v>
                </c:pt>
                <c:pt idx="777">
                  <c:v>43147</c:v>
                </c:pt>
                <c:pt idx="778">
                  <c:v>43148</c:v>
                </c:pt>
                <c:pt idx="779">
                  <c:v>43149</c:v>
                </c:pt>
                <c:pt idx="780">
                  <c:v>43150</c:v>
                </c:pt>
                <c:pt idx="781">
                  <c:v>43151</c:v>
                </c:pt>
                <c:pt idx="782">
                  <c:v>43152</c:v>
                </c:pt>
                <c:pt idx="783">
                  <c:v>43153</c:v>
                </c:pt>
                <c:pt idx="784">
                  <c:v>43154</c:v>
                </c:pt>
                <c:pt idx="785">
                  <c:v>43155</c:v>
                </c:pt>
                <c:pt idx="786">
                  <c:v>43156</c:v>
                </c:pt>
                <c:pt idx="787">
                  <c:v>43157</c:v>
                </c:pt>
                <c:pt idx="788">
                  <c:v>43158</c:v>
                </c:pt>
                <c:pt idx="789">
                  <c:v>43159</c:v>
                </c:pt>
                <c:pt idx="790">
                  <c:v>43160</c:v>
                </c:pt>
                <c:pt idx="791">
                  <c:v>43161</c:v>
                </c:pt>
                <c:pt idx="792">
                  <c:v>43162</c:v>
                </c:pt>
                <c:pt idx="793">
                  <c:v>43163</c:v>
                </c:pt>
                <c:pt idx="794">
                  <c:v>43164</c:v>
                </c:pt>
                <c:pt idx="795">
                  <c:v>43165</c:v>
                </c:pt>
                <c:pt idx="796">
                  <c:v>43166</c:v>
                </c:pt>
                <c:pt idx="797">
                  <c:v>43167</c:v>
                </c:pt>
                <c:pt idx="798">
                  <c:v>43168</c:v>
                </c:pt>
                <c:pt idx="799">
                  <c:v>43169</c:v>
                </c:pt>
                <c:pt idx="800">
                  <c:v>43170</c:v>
                </c:pt>
                <c:pt idx="801">
                  <c:v>43171</c:v>
                </c:pt>
                <c:pt idx="802">
                  <c:v>43172</c:v>
                </c:pt>
                <c:pt idx="803">
                  <c:v>43173</c:v>
                </c:pt>
                <c:pt idx="804">
                  <c:v>43174</c:v>
                </c:pt>
                <c:pt idx="805">
                  <c:v>43175</c:v>
                </c:pt>
                <c:pt idx="806">
                  <c:v>43176</c:v>
                </c:pt>
                <c:pt idx="807">
                  <c:v>43177</c:v>
                </c:pt>
                <c:pt idx="808">
                  <c:v>43178</c:v>
                </c:pt>
                <c:pt idx="809">
                  <c:v>43179</c:v>
                </c:pt>
                <c:pt idx="810">
                  <c:v>43180</c:v>
                </c:pt>
                <c:pt idx="811">
                  <c:v>43181</c:v>
                </c:pt>
                <c:pt idx="812">
                  <c:v>43182</c:v>
                </c:pt>
                <c:pt idx="813">
                  <c:v>43183</c:v>
                </c:pt>
                <c:pt idx="814">
                  <c:v>43184</c:v>
                </c:pt>
                <c:pt idx="815">
                  <c:v>43185</c:v>
                </c:pt>
                <c:pt idx="816">
                  <c:v>43186</c:v>
                </c:pt>
                <c:pt idx="817">
                  <c:v>43187</c:v>
                </c:pt>
                <c:pt idx="818">
                  <c:v>43188</c:v>
                </c:pt>
                <c:pt idx="819">
                  <c:v>43189</c:v>
                </c:pt>
                <c:pt idx="820">
                  <c:v>43190</c:v>
                </c:pt>
                <c:pt idx="821">
                  <c:v>43191</c:v>
                </c:pt>
                <c:pt idx="822">
                  <c:v>43192</c:v>
                </c:pt>
                <c:pt idx="823">
                  <c:v>43193</c:v>
                </c:pt>
                <c:pt idx="824">
                  <c:v>43194</c:v>
                </c:pt>
                <c:pt idx="825">
                  <c:v>43195</c:v>
                </c:pt>
                <c:pt idx="826">
                  <c:v>43196</c:v>
                </c:pt>
                <c:pt idx="827">
                  <c:v>43197</c:v>
                </c:pt>
                <c:pt idx="828">
                  <c:v>43198</c:v>
                </c:pt>
                <c:pt idx="829">
                  <c:v>43199</c:v>
                </c:pt>
                <c:pt idx="830">
                  <c:v>43200</c:v>
                </c:pt>
                <c:pt idx="831">
                  <c:v>43201</c:v>
                </c:pt>
                <c:pt idx="832">
                  <c:v>43202</c:v>
                </c:pt>
                <c:pt idx="833">
                  <c:v>43203</c:v>
                </c:pt>
                <c:pt idx="834">
                  <c:v>43204</c:v>
                </c:pt>
                <c:pt idx="835">
                  <c:v>43205</c:v>
                </c:pt>
                <c:pt idx="836">
                  <c:v>43206</c:v>
                </c:pt>
                <c:pt idx="837">
                  <c:v>43207</c:v>
                </c:pt>
                <c:pt idx="838">
                  <c:v>43208</c:v>
                </c:pt>
                <c:pt idx="839">
                  <c:v>43209</c:v>
                </c:pt>
                <c:pt idx="840">
                  <c:v>43210</c:v>
                </c:pt>
                <c:pt idx="841">
                  <c:v>43211</c:v>
                </c:pt>
                <c:pt idx="842">
                  <c:v>43212</c:v>
                </c:pt>
                <c:pt idx="843">
                  <c:v>43213</c:v>
                </c:pt>
                <c:pt idx="844">
                  <c:v>43214</c:v>
                </c:pt>
                <c:pt idx="845">
                  <c:v>43215</c:v>
                </c:pt>
                <c:pt idx="846">
                  <c:v>43216</c:v>
                </c:pt>
                <c:pt idx="847">
                  <c:v>43217</c:v>
                </c:pt>
                <c:pt idx="848">
                  <c:v>43218</c:v>
                </c:pt>
                <c:pt idx="849">
                  <c:v>43219</c:v>
                </c:pt>
                <c:pt idx="850">
                  <c:v>43220</c:v>
                </c:pt>
                <c:pt idx="851">
                  <c:v>43221</c:v>
                </c:pt>
                <c:pt idx="852">
                  <c:v>43222</c:v>
                </c:pt>
                <c:pt idx="853">
                  <c:v>43223</c:v>
                </c:pt>
                <c:pt idx="854">
                  <c:v>43224</c:v>
                </c:pt>
                <c:pt idx="855">
                  <c:v>43225</c:v>
                </c:pt>
                <c:pt idx="856">
                  <c:v>43226</c:v>
                </c:pt>
                <c:pt idx="857">
                  <c:v>43227</c:v>
                </c:pt>
                <c:pt idx="858">
                  <c:v>43228</c:v>
                </c:pt>
                <c:pt idx="859">
                  <c:v>43229</c:v>
                </c:pt>
                <c:pt idx="860">
                  <c:v>43230</c:v>
                </c:pt>
                <c:pt idx="861">
                  <c:v>43231</c:v>
                </c:pt>
                <c:pt idx="862">
                  <c:v>43232</c:v>
                </c:pt>
                <c:pt idx="863">
                  <c:v>43233</c:v>
                </c:pt>
                <c:pt idx="864">
                  <c:v>43234</c:v>
                </c:pt>
                <c:pt idx="865">
                  <c:v>43235</c:v>
                </c:pt>
                <c:pt idx="866">
                  <c:v>43236</c:v>
                </c:pt>
                <c:pt idx="867">
                  <c:v>43237</c:v>
                </c:pt>
                <c:pt idx="868">
                  <c:v>43238</c:v>
                </c:pt>
                <c:pt idx="869">
                  <c:v>43239</c:v>
                </c:pt>
                <c:pt idx="870">
                  <c:v>43240</c:v>
                </c:pt>
                <c:pt idx="871">
                  <c:v>43241</c:v>
                </c:pt>
                <c:pt idx="872">
                  <c:v>43242</c:v>
                </c:pt>
                <c:pt idx="873">
                  <c:v>43243</c:v>
                </c:pt>
                <c:pt idx="874">
                  <c:v>43244</c:v>
                </c:pt>
                <c:pt idx="875">
                  <c:v>43245</c:v>
                </c:pt>
                <c:pt idx="876">
                  <c:v>43246</c:v>
                </c:pt>
                <c:pt idx="877">
                  <c:v>43247</c:v>
                </c:pt>
                <c:pt idx="878">
                  <c:v>43248</c:v>
                </c:pt>
                <c:pt idx="879">
                  <c:v>43249</c:v>
                </c:pt>
                <c:pt idx="880">
                  <c:v>43250</c:v>
                </c:pt>
                <c:pt idx="881">
                  <c:v>43251</c:v>
                </c:pt>
                <c:pt idx="882">
                  <c:v>43252</c:v>
                </c:pt>
                <c:pt idx="883">
                  <c:v>43253</c:v>
                </c:pt>
                <c:pt idx="884">
                  <c:v>43254</c:v>
                </c:pt>
                <c:pt idx="885">
                  <c:v>43255</c:v>
                </c:pt>
                <c:pt idx="886">
                  <c:v>43256</c:v>
                </c:pt>
                <c:pt idx="887">
                  <c:v>43257</c:v>
                </c:pt>
                <c:pt idx="888">
                  <c:v>43258</c:v>
                </c:pt>
                <c:pt idx="889">
                  <c:v>43259</c:v>
                </c:pt>
                <c:pt idx="890">
                  <c:v>43260</c:v>
                </c:pt>
                <c:pt idx="891">
                  <c:v>43261</c:v>
                </c:pt>
                <c:pt idx="892">
                  <c:v>43262</c:v>
                </c:pt>
                <c:pt idx="893">
                  <c:v>43263</c:v>
                </c:pt>
                <c:pt idx="894">
                  <c:v>43264</c:v>
                </c:pt>
                <c:pt idx="895">
                  <c:v>43265</c:v>
                </c:pt>
                <c:pt idx="896">
                  <c:v>43266</c:v>
                </c:pt>
                <c:pt idx="897">
                  <c:v>43267</c:v>
                </c:pt>
                <c:pt idx="898">
                  <c:v>43268</c:v>
                </c:pt>
                <c:pt idx="899">
                  <c:v>43269</c:v>
                </c:pt>
                <c:pt idx="900">
                  <c:v>43270</c:v>
                </c:pt>
                <c:pt idx="901">
                  <c:v>43271</c:v>
                </c:pt>
                <c:pt idx="902">
                  <c:v>43272</c:v>
                </c:pt>
                <c:pt idx="903">
                  <c:v>43273</c:v>
                </c:pt>
                <c:pt idx="904">
                  <c:v>43274</c:v>
                </c:pt>
                <c:pt idx="905">
                  <c:v>43275</c:v>
                </c:pt>
                <c:pt idx="906">
                  <c:v>43276</c:v>
                </c:pt>
                <c:pt idx="907">
                  <c:v>43277</c:v>
                </c:pt>
                <c:pt idx="908">
                  <c:v>43278</c:v>
                </c:pt>
                <c:pt idx="909">
                  <c:v>43279</c:v>
                </c:pt>
                <c:pt idx="910">
                  <c:v>43280</c:v>
                </c:pt>
                <c:pt idx="911">
                  <c:v>43281</c:v>
                </c:pt>
                <c:pt idx="912">
                  <c:v>43282</c:v>
                </c:pt>
                <c:pt idx="913">
                  <c:v>43283</c:v>
                </c:pt>
                <c:pt idx="914">
                  <c:v>43284</c:v>
                </c:pt>
                <c:pt idx="915">
                  <c:v>43285</c:v>
                </c:pt>
                <c:pt idx="916">
                  <c:v>43286</c:v>
                </c:pt>
                <c:pt idx="917">
                  <c:v>43287</c:v>
                </c:pt>
                <c:pt idx="918">
                  <c:v>43288</c:v>
                </c:pt>
                <c:pt idx="919">
                  <c:v>43289</c:v>
                </c:pt>
                <c:pt idx="920">
                  <c:v>43290</c:v>
                </c:pt>
                <c:pt idx="921">
                  <c:v>43291</c:v>
                </c:pt>
                <c:pt idx="922">
                  <c:v>43292</c:v>
                </c:pt>
                <c:pt idx="923">
                  <c:v>43293</c:v>
                </c:pt>
                <c:pt idx="924">
                  <c:v>43294</c:v>
                </c:pt>
                <c:pt idx="925">
                  <c:v>43295</c:v>
                </c:pt>
                <c:pt idx="926">
                  <c:v>43296</c:v>
                </c:pt>
                <c:pt idx="927">
                  <c:v>43297</c:v>
                </c:pt>
                <c:pt idx="928">
                  <c:v>43298</c:v>
                </c:pt>
                <c:pt idx="929">
                  <c:v>43299</c:v>
                </c:pt>
                <c:pt idx="930">
                  <c:v>43300</c:v>
                </c:pt>
                <c:pt idx="931">
                  <c:v>43301</c:v>
                </c:pt>
                <c:pt idx="932">
                  <c:v>43302</c:v>
                </c:pt>
                <c:pt idx="933">
                  <c:v>43303</c:v>
                </c:pt>
                <c:pt idx="934">
                  <c:v>43304</c:v>
                </c:pt>
                <c:pt idx="935">
                  <c:v>43305</c:v>
                </c:pt>
                <c:pt idx="936">
                  <c:v>43306</c:v>
                </c:pt>
                <c:pt idx="937">
                  <c:v>43307</c:v>
                </c:pt>
                <c:pt idx="938">
                  <c:v>43308</c:v>
                </c:pt>
                <c:pt idx="939">
                  <c:v>43309</c:v>
                </c:pt>
                <c:pt idx="940">
                  <c:v>43310</c:v>
                </c:pt>
                <c:pt idx="941">
                  <c:v>43311</c:v>
                </c:pt>
                <c:pt idx="942">
                  <c:v>43312</c:v>
                </c:pt>
                <c:pt idx="943">
                  <c:v>43313</c:v>
                </c:pt>
                <c:pt idx="944">
                  <c:v>43314</c:v>
                </c:pt>
                <c:pt idx="945">
                  <c:v>43315</c:v>
                </c:pt>
                <c:pt idx="946">
                  <c:v>43316</c:v>
                </c:pt>
                <c:pt idx="947">
                  <c:v>43317</c:v>
                </c:pt>
                <c:pt idx="948">
                  <c:v>43318</c:v>
                </c:pt>
                <c:pt idx="949">
                  <c:v>43319</c:v>
                </c:pt>
                <c:pt idx="950">
                  <c:v>43320</c:v>
                </c:pt>
                <c:pt idx="951">
                  <c:v>43321</c:v>
                </c:pt>
                <c:pt idx="952">
                  <c:v>43322</c:v>
                </c:pt>
                <c:pt idx="953">
                  <c:v>43323</c:v>
                </c:pt>
                <c:pt idx="954">
                  <c:v>43324</c:v>
                </c:pt>
                <c:pt idx="955">
                  <c:v>43325</c:v>
                </c:pt>
                <c:pt idx="956">
                  <c:v>43326</c:v>
                </c:pt>
                <c:pt idx="957">
                  <c:v>43327</c:v>
                </c:pt>
                <c:pt idx="958">
                  <c:v>43328</c:v>
                </c:pt>
                <c:pt idx="959">
                  <c:v>43329</c:v>
                </c:pt>
                <c:pt idx="960">
                  <c:v>43330</c:v>
                </c:pt>
                <c:pt idx="961">
                  <c:v>43331</c:v>
                </c:pt>
                <c:pt idx="962">
                  <c:v>43332</c:v>
                </c:pt>
                <c:pt idx="963">
                  <c:v>43333</c:v>
                </c:pt>
                <c:pt idx="964">
                  <c:v>43334</c:v>
                </c:pt>
                <c:pt idx="965">
                  <c:v>43335</c:v>
                </c:pt>
                <c:pt idx="966">
                  <c:v>43336</c:v>
                </c:pt>
                <c:pt idx="967">
                  <c:v>43337</c:v>
                </c:pt>
                <c:pt idx="968">
                  <c:v>43338</c:v>
                </c:pt>
                <c:pt idx="969">
                  <c:v>43339</c:v>
                </c:pt>
                <c:pt idx="970">
                  <c:v>43340</c:v>
                </c:pt>
                <c:pt idx="971">
                  <c:v>43341</c:v>
                </c:pt>
                <c:pt idx="972">
                  <c:v>43342</c:v>
                </c:pt>
                <c:pt idx="973">
                  <c:v>43343</c:v>
                </c:pt>
                <c:pt idx="974">
                  <c:v>43344</c:v>
                </c:pt>
                <c:pt idx="975">
                  <c:v>43345</c:v>
                </c:pt>
                <c:pt idx="976">
                  <c:v>43346</c:v>
                </c:pt>
                <c:pt idx="977">
                  <c:v>43347</c:v>
                </c:pt>
                <c:pt idx="978">
                  <c:v>43348</c:v>
                </c:pt>
                <c:pt idx="979">
                  <c:v>43349</c:v>
                </c:pt>
                <c:pt idx="980">
                  <c:v>43350</c:v>
                </c:pt>
                <c:pt idx="981">
                  <c:v>43351</c:v>
                </c:pt>
                <c:pt idx="982">
                  <c:v>43352</c:v>
                </c:pt>
                <c:pt idx="983">
                  <c:v>43353</c:v>
                </c:pt>
                <c:pt idx="984">
                  <c:v>43354</c:v>
                </c:pt>
                <c:pt idx="985">
                  <c:v>43355</c:v>
                </c:pt>
                <c:pt idx="986">
                  <c:v>43356</c:v>
                </c:pt>
                <c:pt idx="987">
                  <c:v>43357</c:v>
                </c:pt>
                <c:pt idx="988">
                  <c:v>43358</c:v>
                </c:pt>
                <c:pt idx="989">
                  <c:v>43359</c:v>
                </c:pt>
                <c:pt idx="990">
                  <c:v>43360</c:v>
                </c:pt>
                <c:pt idx="991">
                  <c:v>43361</c:v>
                </c:pt>
                <c:pt idx="992">
                  <c:v>43362</c:v>
                </c:pt>
                <c:pt idx="993">
                  <c:v>43363</c:v>
                </c:pt>
                <c:pt idx="994">
                  <c:v>43364</c:v>
                </c:pt>
                <c:pt idx="995">
                  <c:v>43365</c:v>
                </c:pt>
                <c:pt idx="996">
                  <c:v>43366</c:v>
                </c:pt>
                <c:pt idx="997">
                  <c:v>43367</c:v>
                </c:pt>
                <c:pt idx="998">
                  <c:v>43368</c:v>
                </c:pt>
                <c:pt idx="999">
                  <c:v>43369</c:v>
                </c:pt>
                <c:pt idx="1000">
                  <c:v>43370</c:v>
                </c:pt>
                <c:pt idx="1001">
                  <c:v>43371</c:v>
                </c:pt>
                <c:pt idx="1002">
                  <c:v>43372</c:v>
                </c:pt>
                <c:pt idx="1003">
                  <c:v>43373</c:v>
                </c:pt>
                <c:pt idx="1004">
                  <c:v>43374</c:v>
                </c:pt>
                <c:pt idx="1005">
                  <c:v>43375</c:v>
                </c:pt>
                <c:pt idx="1006">
                  <c:v>43376</c:v>
                </c:pt>
                <c:pt idx="1007">
                  <c:v>43377</c:v>
                </c:pt>
                <c:pt idx="1008">
                  <c:v>43378</c:v>
                </c:pt>
                <c:pt idx="1009">
                  <c:v>43379</c:v>
                </c:pt>
                <c:pt idx="1010">
                  <c:v>43380</c:v>
                </c:pt>
                <c:pt idx="1011">
                  <c:v>43381</c:v>
                </c:pt>
                <c:pt idx="1012">
                  <c:v>43382</c:v>
                </c:pt>
                <c:pt idx="1013">
                  <c:v>43383</c:v>
                </c:pt>
                <c:pt idx="1014">
                  <c:v>43384</c:v>
                </c:pt>
                <c:pt idx="1015">
                  <c:v>43385</c:v>
                </c:pt>
                <c:pt idx="1016">
                  <c:v>43386</c:v>
                </c:pt>
                <c:pt idx="1017">
                  <c:v>43387</c:v>
                </c:pt>
                <c:pt idx="1018">
                  <c:v>43388</c:v>
                </c:pt>
                <c:pt idx="1019">
                  <c:v>43389</c:v>
                </c:pt>
                <c:pt idx="1020">
                  <c:v>43390</c:v>
                </c:pt>
                <c:pt idx="1021">
                  <c:v>43391</c:v>
                </c:pt>
                <c:pt idx="1022">
                  <c:v>43392</c:v>
                </c:pt>
                <c:pt idx="1023">
                  <c:v>43393</c:v>
                </c:pt>
                <c:pt idx="1024">
                  <c:v>43394</c:v>
                </c:pt>
                <c:pt idx="1025">
                  <c:v>43395</c:v>
                </c:pt>
                <c:pt idx="1026">
                  <c:v>43396</c:v>
                </c:pt>
                <c:pt idx="1027">
                  <c:v>43397</c:v>
                </c:pt>
                <c:pt idx="1028">
                  <c:v>43398</c:v>
                </c:pt>
                <c:pt idx="1029">
                  <c:v>43399</c:v>
                </c:pt>
                <c:pt idx="1030">
                  <c:v>43400</c:v>
                </c:pt>
                <c:pt idx="1031">
                  <c:v>43401</c:v>
                </c:pt>
                <c:pt idx="1032">
                  <c:v>43402</c:v>
                </c:pt>
                <c:pt idx="1033">
                  <c:v>43403</c:v>
                </c:pt>
                <c:pt idx="1034">
                  <c:v>43404</c:v>
                </c:pt>
                <c:pt idx="1035">
                  <c:v>43405</c:v>
                </c:pt>
                <c:pt idx="1036">
                  <c:v>43406</c:v>
                </c:pt>
                <c:pt idx="1037">
                  <c:v>43407</c:v>
                </c:pt>
                <c:pt idx="1038">
                  <c:v>43408</c:v>
                </c:pt>
                <c:pt idx="1039">
                  <c:v>43409</c:v>
                </c:pt>
                <c:pt idx="1040">
                  <c:v>43410</c:v>
                </c:pt>
                <c:pt idx="1041">
                  <c:v>43411</c:v>
                </c:pt>
                <c:pt idx="1042">
                  <c:v>43412</c:v>
                </c:pt>
                <c:pt idx="1043">
                  <c:v>43413</c:v>
                </c:pt>
                <c:pt idx="1044">
                  <c:v>43414</c:v>
                </c:pt>
                <c:pt idx="1045">
                  <c:v>43415</c:v>
                </c:pt>
                <c:pt idx="1046">
                  <c:v>43416</c:v>
                </c:pt>
                <c:pt idx="1047">
                  <c:v>43417</c:v>
                </c:pt>
                <c:pt idx="1048">
                  <c:v>43418</c:v>
                </c:pt>
                <c:pt idx="1049">
                  <c:v>43419</c:v>
                </c:pt>
                <c:pt idx="1050">
                  <c:v>43420</c:v>
                </c:pt>
                <c:pt idx="1051">
                  <c:v>43421</c:v>
                </c:pt>
                <c:pt idx="1052">
                  <c:v>43422</c:v>
                </c:pt>
                <c:pt idx="1053">
                  <c:v>43423</c:v>
                </c:pt>
                <c:pt idx="1054">
                  <c:v>43424</c:v>
                </c:pt>
                <c:pt idx="1055">
                  <c:v>43425</c:v>
                </c:pt>
                <c:pt idx="1056">
                  <c:v>43426</c:v>
                </c:pt>
                <c:pt idx="1057">
                  <c:v>43427</c:v>
                </c:pt>
                <c:pt idx="1058">
                  <c:v>43428</c:v>
                </c:pt>
                <c:pt idx="1059">
                  <c:v>43429</c:v>
                </c:pt>
                <c:pt idx="1060">
                  <c:v>43430</c:v>
                </c:pt>
                <c:pt idx="1061">
                  <c:v>43431</c:v>
                </c:pt>
                <c:pt idx="1062">
                  <c:v>43432</c:v>
                </c:pt>
                <c:pt idx="1063">
                  <c:v>43433</c:v>
                </c:pt>
                <c:pt idx="1064">
                  <c:v>43434</c:v>
                </c:pt>
                <c:pt idx="1065">
                  <c:v>43435</c:v>
                </c:pt>
                <c:pt idx="1066">
                  <c:v>43436</c:v>
                </c:pt>
                <c:pt idx="1067">
                  <c:v>43437</c:v>
                </c:pt>
                <c:pt idx="1068">
                  <c:v>43438</c:v>
                </c:pt>
                <c:pt idx="1069">
                  <c:v>43439</c:v>
                </c:pt>
                <c:pt idx="1070">
                  <c:v>43440</c:v>
                </c:pt>
                <c:pt idx="1071">
                  <c:v>43441</c:v>
                </c:pt>
                <c:pt idx="1072">
                  <c:v>43442</c:v>
                </c:pt>
                <c:pt idx="1073">
                  <c:v>43443</c:v>
                </c:pt>
                <c:pt idx="1074">
                  <c:v>43444</c:v>
                </c:pt>
                <c:pt idx="1075">
                  <c:v>43445</c:v>
                </c:pt>
                <c:pt idx="1076">
                  <c:v>43446</c:v>
                </c:pt>
                <c:pt idx="1077">
                  <c:v>43447</c:v>
                </c:pt>
                <c:pt idx="1078">
                  <c:v>43448</c:v>
                </c:pt>
                <c:pt idx="1079">
                  <c:v>43449</c:v>
                </c:pt>
                <c:pt idx="1080">
                  <c:v>43450</c:v>
                </c:pt>
                <c:pt idx="1081">
                  <c:v>43451</c:v>
                </c:pt>
                <c:pt idx="1082">
                  <c:v>43452</c:v>
                </c:pt>
                <c:pt idx="1083">
                  <c:v>43453</c:v>
                </c:pt>
                <c:pt idx="1084">
                  <c:v>43454</c:v>
                </c:pt>
                <c:pt idx="1085">
                  <c:v>43455</c:v>
                </c:pt>
                <c:pt idx="1086">
                  <c:v>43456</c:v>
                </c:pt>
                <c:pt idx="1087">
                  <c:v>43457</c:v>
                </c:pt>
                <c:pt idx="1088">
                  <c:v>43458</c:v>
                </c:pt>
                <c:pt idx="1089">
                  <c:v>43459</c:v>
                </c:pt>
                <c:pt idx="1090">
                  <c:v>43460</c:v>
                </c:pt>
                <c:pt idx="1091">
                  <c:v>43461</c:v>
                </c:pt>
                <c:pt idx="1092">
                  <c:v>43462</c:v>
                </c:pt>
                <c:pt idx="1093">
                  <c:v>43463</c:v>
                </c:pt>
                <c:pt idx="1094">
                  <c:v>43464</c:v>
                </c:pt>
                <c:pt idx="1095">
                  <c:v>43465</c:v>
                </c:pt>
                <c:pt idx="1096">
                  <c:v>43466</c:v>
                </c:pt>
                <c:pt idx="1097">
                  <c:v>43467</c:v>
                </c:pt>
                <c:pt idx="1098">
                  <c:v>43468</c:v>
                </c:pt>
                <c:pt idx="1099">
                  <c:v>43469</c:v>
                </c:pt>
                <c:pt idx="1100">
                  <c:v>43470</c:v>
                </c:pt>
                <c:pt idx="1101">
                  <c:v>43471</c:v>
                </c:pt>
                <c:pt idx="1102">
                  <c:v>43472</c:v>
                </c:pt>
                <c:pt idx="1103">
                  <c:v>43473</c:v>
                </c:pt>
                <c:pt idx="1104">
                  <c:v>43474</c:v>
                </c:pt>
                <c:pt idx="1105">
                  <c:v>43475</c:v>
                </c:pt>
                <c:pt idx="1106">
                  <c:v>43476</c:v>
                </c:pt>
                <c:pt idx="1107">
                  <c:v>43477</c:v>
                </c:pt>
                <c:pt idx="1108">
                  <c:v>43478</c:v>
                </c:pt>
                <c:pt idx="1109">
                  <c:v>43479</c:v>
                </c:pt>
                <c:pt idx="1110">
                  <c:v>43480</c:v>
                </c:pt>
                <c:pt idx="1111">
                  <c:v>43481</c:v>
                </c:pt>
                <c:pt idx="1112">
                  <c:v>43482</c:v>
                </c:pt>
                <c:pt idx="1113">
                  <c:v>43483</c:v>
                </c:pt>
                <c:pt idx="1114">
                  <c:v>43484</c:v>
                </c:pt>
                <c:pt idx="1115">
                  <c:v>43485</c:v>
                </c:pt>
                <c:pt idx="1116">
                  <c:v>43486</c:v>
                </c:pt>
                <c:pt idx="1117">
                  <c:v>43487</c:v>
                </c:pt>
                <c:pt idx="1118">
                  <c:v>43488</c:v>
                </c:pt>
                <c:pt idx="1119">
                  <c:v>43489</c:v>
                </c:pt>
                <c:pt idx="1120">
                  <c:v>43490</c:v>
                </c:pt>
                <c:pt idx="1121">
                  <c:v>43491</c:v>
                </c:pt>
                <c:pt idx="1122">
                  <c:v>43492</c:v>
                </c:pt>
                <c:pt idx="1123">
                  <c:v>43493</c:v>
                </c:pt>
                <c:pt idx="1124">
                  <c:v>43494</c:v>
                </c:pt>
                <c:pt idx="1125">
                  <c:v>43495</c:v>
                </c:pt>
                <c:pt idx="1126">
                  <c:v>43496</c:v>
                </c:pt>
                <c:pt idx="1127">
                  <c:v>43497</c:v>
                </c:pt>
                <c:pt idx="1128">
                  <c:v>43498</c:v>
                </c:pt>
                <c:pt idx="1129">
                  <c:v>43499</c:v>
                </c:pt>
                <c:pt idx="1130">
                  <c:v>43500</c:v>
                </c:pt>
                <c:pt idx="1131">
                  <c:v>43501</c:v>
                </c:pt>
                <c:pt idx="1132">
                  <c:v>43502</c:v>
                </c:pt>
                <c:pt idx="1133">
                  <c:v>43503</c:v>
                </c:pt>
                <c:pt idx="1134">
                  <c:v>43504</c:v>
                </c:pt>
                <c:pt idx="1135">
                  <c:v>43505</c:v>
                </c:pt>
                <c:pt idx="1136">
                  <c:v>43506</c:v>
                </c:pt>
                <c:pt idx="1137">
                  <c:v>43507</c:v>
                </c:pt>
                <c:pt idx="1138">
                  <c:v>43508</c:v>
                </c:pt>
                <c:pt idx="1139">
                  <c:v>43509</c:v>
                </c:pt>
                <c:pt idx="1140">
                  <c:v>43510</c:v>
                </c:pt>
                <c:pt idx="1141">
                  <c:v>43511</c:v>
                </c:pt>
                <c:pt idx="1142">
                  <c:v>43512</c:v>
                </c:pt>
                <c:pt idx="1143">
                  <c:v>43513</c:v>
                </c:pt>
                <c:pt idx="1144">
                  <c:v>43514</c:v>
                </c:pt>
                <c:pt idx="1145">
                  <c:v>43515</c:v>
                </c:pt>
                <c:pt idx="1146">
                  <c:v>43516</c:v>
                </c:pt>
                <c:pt idx="1147">
                  <c:v>43517</c:v>
                </c:pt>
                <c:pt idx="1148">
                  <c:v>43518</c:v>
                </c:pt>
                <c:pt idx="1149">
                  <c:v>43519</c:v>
                </c:pt>
                <c:pt idx="1150">
                  <c:v>43520</c:v>
                </c:pt>
                <c:pt idx="1151">
                  <c:v>43521</c:v>
                </c:pt>
                <c:pt idx="1152">
                  <c:v>43522</c:v>
                </c:pt>
                <c:pt idx="1153">
                  <c:v>43523</c:v>
                </c:pt>
                <c:pt idx="1154">
                  <c:v>43524</c:v>
                </c:pt>
                <c:pt idx="1155">
                  <c:v>43525</c:v>
                </c:pt>
                <c:pt idx="1156">
                  <c:v>43526</c:v>
                </c:pt>
                <c:pt idx="1157">
                  <c:v>43527</c:v>
                </c:pt>
                <c:pt idx="1158">
                  <c:v>43528</c:v>
                </c:pt>
                <c:pt idx="1159">
                  <c:v>43529</c:v>
                </c:pt>
                <c:pt idx="1160">
                  <c:v>43530</c:v>
                </c:pt>
                <c:pt idx="1161">
                  <c:v>43531</c:v>
                </c:pt>
                <c:pt idx="1162">
                  <c:v>43532</c:v>
                </c:pt>
                <c:pt idx="1163">
                  <c:v>43533</c:v>
                </c:pt>
                <c:pt idx="1164">
                  <c:v>43534</c:v>
                </c:pt>
                <c:pt idx="1165">
                  <c:v>43535</c:v>
                </c:pt>
                <c:pt idx="1166">
                  <c:v>43536</c:v>
                </c:pt>
                <c:pt idx="1167">
                  <c:v>43537</c:v>
                </c:pt>
                <c:pt idx="1168">
                  <c:v>43538</c:v>
                </c:pt>
                <c:pt idx="1169">
                  <c:v>43539</c:v>
                </c:pt>
                <c:pt idx="1170">
                  <c:v>43540</c:v>
                </c:pt>
                <c:pt idx="1171">
                  <c:v>43541</c:v>
                </c:pt>
                <c:pt idx="1172">
                  <c:v>43542</c:v>
                </c:pt>
                <c:pt idx="1173">
                  <c:v>43543</c:v>
                </c:pt>
                <c:pt idx="1174">
                  <c:v>43544</c:v>
                </c:pt>
                <c:pt idx="1175">
                  <c:v>43545</c:v>
                </c:pt>
                <c:pt idx="1176">
                  <c:v>43546</c:v>
                </c:pt>
                <c:pt idx="1177">
                  <c:v>43547</c:v>
                </c:pt>
                <c:pt idx="1178">
                  <c:v>43548</c:v>
                </c:pt>
                <c:pt idx="1179">
                  <c:v>43549</c:v>
                </c:pt>
                <c:pt idx="1180">
                  <c:v>43550</c:v>
                </c:pt>
                <c:pt idx="1181">
                  <c:v>43551</c:v>
                </c:pt>
                <c:pt idx="1182">
                  <c:v>43552</c:v>
                </c:pt>
                <c:pt idx="1183">
                  <c:v>43553</c:v>
                </c:pt>
                <c:pt idx="1184">
                  <c:v>43554</c:v>
                </c:pt>
                <c:pt idx="1185">
                  <c:v>43555</c:v>
                </c:pt>
                <c:pt idx="1186">
                  <c:v>43556</c:v>
                </c:pt>
                <c:pt idx="1187">
                  <c:v>43557</c:v>
                </c:pt>
                <c:pt idx="1188">
                  <c:v>43558</c:v>
                </c:pt>
                <c:pt idx="1189">
                  <c:v>43559</c:v>
                </c:pt>
                <c:pt idx="1190">
                  <c:v>43560</c:v>
                </c:pt>
                <c:pt idx="1191">
                  <c:v>43561</c:v>
                </c:pt>
                <c:pt idx="1192">
                  <c:v>43562</c:v>
                </c:pt>
                <c:pt idx="1193">
                  <c:v>43563</c:v>
                </c:pt>
                <c:pt idx="1194">
                  <c:v>43564</c:v>
                </c:pt>
                <c:pt idx="1195">
                  <c:v>43565</c:v>
                </c:pt>
                <c:pt idx="1196">
                  <c:v>43566</c:v>
                </c:pt>
                <c:pt idx="1197">
                  <c:v>43567</c:v>
                </c:pt>
                <c:pt idx="1198">
                  <c:v>43568</c:v>
                </c:pt>
                <c:pt idx="1199">
                  <c:v>43569</c:v>
                </c:pt>
                <c:pt idx="1200">
                  <c:v>43570</c:v>
                </c:pt>
                <c:pt idx="1201">
                  <c:v>43571</c:v>
                </c:pt>
                <c:pt idx="1202">
                  <c:v>43572</c:v>
                </c:pt>
                <c:pt idx="1203">
                  <c:v>43573</c:v>
                </c:pt>
                <c:pt idx="1204">
                  <c:v>43574</c:v>
                </c:pt>
                <c:pt idx="1205">
                  <c:v>43575</c:v>
                </c:pt>
                <c:pt idx="1206">
                  <c:v>43576</c:v>
                </c:pt>
                <c:pt idx="1207">
                  <c:v>43577</c:v>
                </c:pt>
                <c:pt idx="1208">
                  <c:v>43578</c:v>
                </c:pt>
                <c:pt idx="1209">
                  <c:v>43579</c:v>
                </c:pt>
                <c:pt idx="1210">
                  <c:v>43580</c:v>
                </c:pt>
                <c:pt idx="1211">
                  <c:v>43581</c:v>
                </c:pt>
                <c:pt idx="1212">
                  <c:v>43582</c:v>
                </c:pt>
                <c:pt idx="1213">
                  <c:v>43583</c:v>
                </c:pt>
                <c:pt idx="1214">
                  <c:v>43584</c:v>
                </c:pt>
                <c:pt idx="1215">
                  <c:v>43585</c:v>
                </c:pt>
                <c:pt idx="1216">
                  <c:v>43586</c:v>
                </c:pt>
                <c:pt idx="1217">
                  <c:v>43587</c:v>
                </c:pt>
                <c:pt idx="1218">
                  <c:v>43588</c:v>
                </c:pt>
                <c:pt idx="1219">
                  <c:v>43589</c:v>
                </c:pt>
                <c:pt idx="1220">
                  <c:v>43590</c:v>
                </c:pt>
                <c:pt idx="1221">
                  <c:v>43591</c:v>
                </c:pt>
                <c:pt idx="1222">
                  <c:v>43592</c:v>
                </c:pt>
                <c:pt idx="1223">
                  <c:v>43593</c:v>
                </c:pt>
                <c:pt idx="1224">
                  <c:v>43594</c:v>
                </c:pt>
                <c:pt idx="1225">
                  <c:v>43595</c:v>
                </c:pt>
                <c:pt idx="1226">
                  <c:v>43596</c:v>
                </c:pt>
                <c:pt idx="1227">
                  <c:v>43597</c:v>
                </c:pt>
                <c:pt idx="1228">
                  <c:v>43598</c:v>
                </c:pt>
                <c:pt idx="1229">
                  <c:v>43599</c:v>
                </c:pt>
                <c:pt idx="1230">
                  <c:v>43600</c:v>
                </c:pt>
                <c:pt idx="1231">
                  <c:v>43601</c:v>
                </c:pt>
                <c:pt idx="1232">
                  <c:v>43602</c:v>
                </c:pt>
                <c:pt idx="1233">
                  <c:v>43603</c:v>
                </c:pt>
                <c:pt idx="1234">
                  <c:v>43604</c:v>
                </c:pt>
                <c:pt idx="1235">
                  <c:v>43605</c:v>
                </c:pt>
                <c:pt idx="1236">
                  <c:v>43606</c:v>
                </c:pt>
                <c:pt idx="1237">
                  <c:v>43607</c:v>
                </c:pt>
                <c:pt idx="1238">
                  <c:v>43608</c:v>
                </c:pt>
                <c:pt idx="1239">
                  <c:v>43609</c:v>
                </c:pt>
                <c:pt idx="1240">
                  <c:v>43610</c:v>
                </c:pt>
                <c:pt idx="1241">
                  <c:v>43611</c:v>
                </c:pt>
                <c:pt idx="1242">
                  <c:v>43612</c:v>
                </c:pt>
                <c:pt idx="1243">
                  <c:v>43613</c:v>
                </c:pt>
                <c:pt idx="1244">
                  <c:v>43614</c:v>
                </c:pt>
                <c:pt idx="1245">
                  <c:v>43615</c:v>
                </c:pt>
                <c:pt idx="1246">
                  <c:v>43616</c:v>
                </c:pt>
                <c:pt idx="1247">
                  <c:v>43617</c:v>
                </c:pt>
                <c:pt idx="1248">
                  <c:v>43618</c:v>
                </c:pt>
                <c:pt idx="1249">
                  <c:v>43619</c:v>
                </c:pt>
                <c:pt idx="1250">
                  <c:v>43620</c:v>
                </c:pt>
                <c:pt idx="1251">
                  <c:v>43621</c:v>
                </c:pt>
                <c:pt idx="1252">
                  <c:v>43622</c:v>
                </c:pt>
                <c:pt idx="1253">
                  <c:v>43623</c:v>
                </c:pt>
                <c:pt idx="1254">
                  <c:v>43624</c:v>
                </c:pt>
                <c:pt idx="1255">
                  <c:v>43625</c:v>
                </c:pt>
                <c:pt idx="1256">
                  <c:v>43626</c:v>
                </c:pt>
                <c:pt idx="1257">
                  <c:v>43627</c:v>
                </c:pt>
                <c:pt idx="1258">
                  <c:v>43628</c:v>
                </c:pt>
                <c:pt idx="1259">
                  <c:v>43629</c:v>
                </c:pt>
                <c:pt idx="1260">
                  <c:v>43630</c:v>
                </c:pt>
                <c:pt idx="1261">
                  <c:v>43631</c:v>
                </c:pt>
                <c:pt idx="1262">
                  <c:v>43632</c:v>
                </c:pt>
                <c:pt idx="1263">
                  <c:v>43633</c:v>
                </c:pt>
                <c:pt idx="1264">
                  <c:v>43634</c:v>
                </c:pt>
                <c:pt idx="1265">
                  <c:v>43635</c:v>
                </c:pt>
                <c:pt idx="1266">
                  <c:v>43636</c:v>
                </c:pt>
                <c:pt idx="1267">
                  <c:v>43637</c:v>
                </c:pt>
                <c:pt idx="1268">
                  <c:v>43638</c:v>
                </c:pt>
                <c:pt idx="1269">
                  <c:v>43639</c:v>
                </c:pt>
                <c:pt idx="1270">
                  <c:v>43640</c:v>
                </c:pt>
                <c:pt idx="1271">
                  <c:v>43641</c:v>
                </c:pt>
                <c:pt idx="1272">
                  <c:v>43642</c:v>
                </c:pt>
                <c:pt idx="1273">
                  <c:v>43643</c:v>
                </c:pt>
                <c:pt idx="1274">
                  <c:v>43644</c:v>
                </c:pt>
                <c:pt idx="1275">
                  <c:v>43645</c:v>
                </c:pt>
                <c:pt idx="1276">
                  <c:v>43646</c:v>
                </c:pt>
                <c:pt idx="1277">
                  <c:v>43647</c:v>
                </c:pt>
                <c:pt idx="1278">
                  <c:v>43648</c:v>
                </c:pt>
                <c:pt idx="1279">
                  <c:v>43649</c:v>
                </c:pt>
                <c:pt idx="1280">
                  <c:v>43650</c:v>
                </c:pt>
                <c:pt idx="1281">
                  <c:v>43651</c:v>
                </c:pt>
                <c:pt idx="1282">
                  <c:v>43652</c:v>
                </c:pt>
                <c:pt idx="1283">
                  <c:v>43653</c:v>
                </c:pt>
                <c:pt idx="1284">
                  <c:v>43654</c:v>
                </c:pt>
                <c:pt idx="1285">
                  <c:v>43655</c:v>
                </c:pt>
                <c:pt idx="1286">
                  <c:v>43656</c:v>
                </c:pt>
                <c:pt idx="1287">
                  <c:v>43657</c:v>
                </c:pt>
                <c:pt idx="1288">
                  <c:v>43658</c:v>
                </c:pt>
                <c:pt idx="1289">
                  <c:v>43659</c:v>
                </c:pt>
                <c:pt idx="1290">
                  <c:v>43660</c:v>
                </c:pt>
                <c:pt idx="1291">
                  <c:v>43661</c:v>
                </c:pt>
                <c:pt idx="1292">
                  <c:v>43662</c:v>
                </c:pt>
                <c:pt idx="1293">
                  <c:v>43663</c:v>
                </c:pt>
                <c:pt idx="1294">
                  <c:v>43664</c:v>
                </c:pt>
                <c:pt idx="1295">
                  <c:v>43665</c:v>
                </c:pt>
                <c:pt idx="1296">
                  <c:v>43666</c:v>
                </c:pt>
                <c:pt idx="1297">
                  <c:v>43667</c:v>
                </c:pt>
                <c:pt idx="1298">
                  <c:v>43668</c:v>
                </c:pt>
                <c:pt idx="1299">
                  <c:v>43669</c:v>
                </c:pt>
                <c:pt idx="1300">
                  <c:v>43670</c:v>
                </c:pt>
                <c:pt idx="1301">
                  <c:v>43671</c:v>
                </c:pt>
                <c:pt idx="1302">
                  <c:v>43672</c:v>
                </c:pt>
                <c:pt idx="1303">
                  <c:v>43673</c:v>
                </c:pt>
                <c:pt idx="1304">
                  <c:v>43674</c:v>
                </c:pt>
                <c:pt idx="1305">
                  <c:v>43675</c:v>
                </c:pt>
                <c:pt idx="1306">
                  <c:v>43676</c:v>
                </c:pt>
                <c:pt idx="1307">
                  <c:v>43677</c:v>
                </c:pt>
                <c:pt idx="1308">
                  <c:v>43678</c:v>
                </c:pt>
                <c:pt idx="1309">
                  <c:v>43679</c:v>
                </c:pt>
                <c:pt idx="1310">
                  <c:v>43680</c:v>
                </c:pt>
                <c:pt idx="1311">
                  <c:v>43681</c:v>
                </c:pt>
                <c:pt idx="1312">
                  <c:v>43682</c:v>
                </c:pt>
                <c:pt idx="1313">
                  <c:v>43683</c:v>
                </c:pt>
                <c:pt idx="1314">
                  <c:v>43684</c:v>
                </c:pt>
                <c:pt idx="1315">
                  <c:v>43685</c:v>
                </c:pt>
                <c:pt idx="1316">
                  <c:v>43686</c:v>
                </c:pt>
                <c:pt idx="1317">
                  <c:v>43687</c:v>
                </c:pt>
                <c:pt idx="1318">
                  <c:v>43688</c:v>
                </c:pt>
                <c:pt idx="1319">
                  <c:v>43689</c:v>
                </c:pt>
                <c:pt idx="1320">
                  <c:v>43690</c:v>
                </c:pt>
                <c:pt idx="1321">
                  <c:v>43691</c:v>
                </c:pt>
                <c:pt idx="1322">
                  <c:v>43692</c:v>
                </c:pt>
                <c:pt idx="1323">
                  <c:v>43693</c:v>
                </c:pt>
                <c:pt idx="1324">
                  <c:v>43694</c:v>
                </c:pt>
                <c:pt idx="1325">
                  <c:v>43695</c:v>
                </c:pt>
                <c:pt idx="1326">
                  <c:v>43696</c:v>
                </c:pt>
                <c:pt idx="1327">
                  <c:v>43697</c:v>
                </c:pt>
                <c:pt idx="1328">
                  <c:v>43698</c:v>
                </c:pt>
                <c:pt idx="1329">
                  <c:v>43699</c:v>
                </c:pt>
                <c:pt idx="1330">
                  <c:v>43700</c:v>
                </c:pt>
                <c:pt idx="1331">
                  <c:v>43701</c:v>
                </c:pt>
                <c:pt idx="1332">
                  <c:v>43702</c:v>
                </c:pt>
                <c:pt idx="1333">
                  <c:v>43703</c:v>
                </c:pt>
                <c:pt idx="1334">
                  <c:v>43704</c:v>
                </c:pt>
                <c:pt idx="1335">
                  <c:v>43705</c:v>
                </c:pt>
                <c:pt idx="1336">
                  <c:v>43706</c:v>
                </c:pt>
                <c:pt idx="1337">
                  <c:v>43707</c:v>
                </c:pt>
                <c:pt idx="1338">
                  <c:v>43708</c:v>
                </c:pt>
                <c:pt idx="1339">
                  <c:v>43709</c:v>
                </c:pt>
                <c:pt idx="1340">
                  <c:v>43710</c:v>
                </c:pt>
                <c:pt idx="1341">
                  <c:v>43711</c:v>
                </c:pt>
                <c:pt idx="1342">
                  <c:v>43712</c:v>
                </c:pt>
                <c:pt idx="1343">
                  <c:v>43713</c:v>
                </c:pt>
                <c:pt idx="1344">
                  <c:v>43714</c:v>
                </c:pt>
                <c:pt idx="1345">
                  <c:v>43715</c:v>
                </c:pt>
                <c:pt idx="1346">
                  <c:v>43716</c:v>
                </c:pt>
                <c:pt idx="1347">
                  <c:v>43717</c:v>
                </c:pt>
                <c:pt idx="1348">
                  <c:v>43718</c:v>
                </c:pt>
                <c:pt idx="1349">
                  <c:v>43719</c:v>
                </c:pt>
                <c:pt idx="1350">
                  <c:v>43720</c:v>
                </c:pt>
                <c:pt idx="1351">
                  <c:v>43721</c:v>
                </c:pt>
                <c:pt idx="1352">
                  <c:v>43722</c:v>
                </c:pt>
                <c:pt idx="1353">
                  <c:v>43723</c:v>
                </c:pt>
                <c:pt idx="1354">
                  <c:v>43724</c:v>
                </c:pt>
                <c:pt idx="1355">
                  <c:v>43725</c:v>
                </c:pt>
                <c:pt idx="1356">
                  <c:v>43726</c:v>
                </c:pt>
                <c:pt idx="1357">
                  <c:v>43727</c:v>
                </c:pt>
                <c:pt idx="1358">
                  <c:v>43728</c:v>
                </c:pt>
                <c:pt idx="1359">
                  <c:v>43729</c:v>
                </c:pt>
                <c:pt idx="1360">
                  <c:v>43730</c:v>
                </c:pt>
                <c:pt idx="1361">
                  <c:v>43731</c:v>
                </c:pt>
                <c:pt idx="1362">
                  <c:v>43732</c:v>
                </c:pt>
                <c:pt idx="1363">
                  <c:v>43733</c:v>
                </c:pt>
                <c:pt idx="1364">
                  <c:v>43734</c:v>
                </c:pt>
                <c:pt idx="1365">
                  <c:v>43735</c:v>
                </c:pt>
                <c:pt idx="1366">
                  <c:v>43736</c:v>
                </c:pt>
                <c:pt idx="1367">
                  <c:v>43737</c:v>
                </c:pt>
                <c:pt idx="1368">
                  <c:v>43738</c:v>
                </c:pt>
                <c:pt idx="1369">
                  <c:v>43739</c:v>
                </c:pt>
                <c:pt idx="1370">
                  <c:v>43740</c:v>
                </c:pt>
                <c:pt idx="1371">
                  <c:v>43741</c:v>
                </c:pt>
                <c:pt idx="1372">
                  <c:v>43742</c:v>
                </c:pt>
                <c:pt idx="1373">
                  <c:v>43743</c:v>
                </c:pt>
                <c:pt idx="1374">
                  <c:v>43744</c:v>
                </c:pt>
                <c:pt idx="1375">
                  <c:v>43745</c:v>
                </c:pt>
                <c:pt idx="1376">
                  <c:v>43746</c:v>
                </c:pt>
                <c:pt idx="1377">
                  <c:v>43747</c:v>
                </c:pt>
                <c:pt idx="1378">
                  <c:v>43748</c:v>
                </c:pt>
                <c:pt idx="1379">
                  <c:v>43749</c:v>
                </c:pt>
                <c:pt idx="1380">
                  <c:v>43750</c:v>
                </c:pt>
                <c:pt idx="1381">
                  <c:v>43751</c:v>
                </c:pt>
                <c:pt idx="1382">
                  <c:v>43752</c:v>
                </c:pt>
                <c:pt idx="1383">
                  <c:v>43753</c:v>
                </c:pt>
                <c:pt idx="1384">
                  <c:v>43754</c:v>
                </c:pt>
                <c:pt idx="1385">
                  <c:v>43755</c:v>
                </c:pt>
                <c:pt idx="1386">
                  <c:v>43756</c:v>
                </c:pt>
                <c:pt idx="1387">
                  <c:v>43757</c:v>
                </c:pt>
                <c:pt idx="1388">
                  <c:v>43758</c:v>
                </c:pt>
                <c:pt idx="1389">
                  <c:v>43759</c:v>
                </c:pt>
                <c:pt idx="1390">
                  <c:v>43760</c:v>
                </c:pt>
                <c:pt idx="1391">
                  <c:v>43761</c:v>
                </c:pt>
                <c:pt idx="1392">
                  <c:v>43762</c:v>
                </c:pt>
                <c:pt idx="1393">
                  <c:v>43763</c:v>
                </c:pt>
                <c:pt idx="1394">
                  <c:v>43764</c:v>
                </c:pt>
                <c:pt idx="1395">
                  <c:v>43765</c:v>
                </c:pt>
                <c:pt idx="1396">
                  <c:v>43766</c:v>
                </c:pt>
                <c:pt idx="1397">
                  <c:v>43767</c:v>
                </c:pt>
                <c:pt idx="1398">
                  <c:v>43768</c:v>
                </c:pt>
                <c:pt idx="1399">
                  <c:v>43769</c:v>
                </c:pt>
                <c:pt idx="1400">
                  <c:v>43770</c:v>
                </c:pt>
                <c:pt idx="1401">
                  <c:v>43771</c:v>
                </c:pt>
                <c:pt idx="1402">
                  <c:v>43772</c:v>
                </c:pt>
                <c:pt idx="1403">
                  <c:v>43773</c:v>
                </c:pt>
                <c:pt idx="1404">
                  <c:v>43774</c:v>
                </c:pt>
                <c:pt idx="1405">
                  <c:v>43775</c:v>
                </c:pt>
                <c:pt idx="1406">
                  <c:v>43776</c:v>
                </c:pt>
                <c:pt idx="1407">
                  <c:v>43777</c:v>
                </c:pt>
                <c:pt idx="1408">
                  <c:v>43778</c:v>
                </c:pt>
                <c:pt idx="1409">
                  <c:v>43779</c:v>
                </c:pt>
                <c:pt idx="1410">
                  <c:v>43780</c:v>
                </c:pt>
                <c:pt idx="1411">
                  <c:v>43781</c:v>
                </c:pt>
                <c:pt idx="1412">
                  <c:v>43782</c:v>
                </c:pt>
                <c:pt idx="1413">
                  <c:v>43783</c:v>
                </c:pt>
                <c:pt idx="1414">
                  <c:v>43784</c:v>
                </c:pt>
                <c:pt idx="1415">
                  <c:v>43785</c:v>
                </c:pt>
                <c:pt idx="1416">
                  <c:v>43786</c:v>
                </c:pt>
                <c:pt idx="1417">
                  <c:v>43787</c:v>
                </c:pt>
                <c:pt idx="1418">
                  <c:v>43788</c:v>
                </c:pt>
                <c:pt idx="1419">
                  <c:v>43789</c:v>
                </c:pt>
                <c:pt idx="1420">
                  <c:v>43790</c:v>
                </c:pt>
                <c:pt idx="1421">
                  <c:v>43791</c:v>
                </c:pt>
                <c:pt idx="1422">
                  <c:v>43792</c:v>
                </c:pt>
                <c:pt idx="1423">
                  <c:v>43793</c:v>
                </c:pt>
                <c:pt idx="1424">
                  <c:v>43794</c:v>
                </c:pt>
                <c:pt idx="1425">
                  <c:v>43795</c:v>
                </c:pt>
                <c:pt idx="1426">
                  <c:v>43796</c:v>
                </c:pt>
                <c:pt idx="1427">
                  <c:v>43797</c:v>
                </c:pt>
                <c:pt idx="1428">
                  <c:v>43798</c:v>
                </c:pt>
                <c:pt idx="1429">
                  <c:v>43799</c:v>
                </c:pt>
                <c:pt idx="1430">
                  <c:v>43800</c:v>
                </c:pt>
                <c:pt idx="1431">
                  <c:v>43801</c:v>
                </c:pt>
                <c:pt idx="1432">
                  <c:v>43802</c:v>
                </c:pt>
                <c:pt idx="1433">
                  <c:v>43803</c:v>
                </c:pt>
                <c:pt idx="1434">
                  <c:v>43804</c:v>
                </c:pt>
                <c:pt idx="1435">
                  <c:v>43805</c:v>
                </c:pt>
                <c:pt idx="1436">
                  <c:v>43806</c:v>
                </c:pt>
                <c:pt idx="1437">
                  <c:v>43807</c:v>
                </c:pt>
                <c:pt idx="1438">
                  <c:v>43808</c:v>
                </c:pt>
                <c:pt idx="1439">
                  <c:v>43809</c:v>
                </c:pt>
                <c:pt idx="1440">
                  <c:v>43810</c:v>
                </c:pt>
                <c:pt idx="1441">
                  <c:v>43811</c:v>
                </c:pt>
                <c:pt idx="1442">
                  <c:v>43812</c:v>
                </c:pt>
                <c:pt idx="1443">
                  <c:v>43813</c:v>
                </c:pt>
                <c:pt idx="1444">
                  <c:v>43814</c:v>
                </c:pt>
                <c:pt idx="1445">
                  <c:v>43815</c:v>
                </c:pt>
                <c:pt idx="1446">
                  <c:v>43816</c:v>
                </c:pt>
                <c:pt idx="1447">
                  <c:v>43817</c:v>
                </c:pt>
                <c:pt idx="1448">
                  <c:v>43818</c:v>
                </c:pt>
                <c:pt idx="1449">
                  <c:v>43819</c:v>
                </c:pt>
                <c:pt idx="1450">
                  <c:v>43820</c:v>
                </c:pt>
                <c:pt idx="1451">
                  <c:v>43821</c:v>
                </c:pt>
                <c:pt idx="1452">
                  <c:v>43822</c:v>
                </c:pt>
                <c:pt idx="1453">
                  <c:v>43823</c:v>
                </c:pt>
                <c:pt idx="1454">
                  <c:v>43824</c:v>
                </c:pt>
                <c:pt idx="1455">
                  <c:v>43825</c:v>
                </c:pt>
                <c:pt idx="1456">
                  <c:v>43826</c:v>
                </c:pt>
                <c:pt idx="1457">
                  <c:v>43827</c:v>
                </c:pt>
                <c:pt idx="1458">
                  <c:v>43828</c:v>
                </c:pt>
                <c:pt idx="1459">
                  <c:v>43829</c:v>
                </c:pt>
                <c:pt idx="1460">
                  <c:v>43830</c:v>
                </c:pt>
                <c:pt idx="1461">
                  <c:v>43831</c:v>
                </c:pt>
                <c:pt idx="1462">
                  <c:v>43832</c:v>
                </c:pt>
                <c:pt idx="1463">
                  <c:v>43833</c:v>
                </c:pt>
                <c:pt idx="1464">
                  <c:v>43834</c:v>
                </c:pt>
                <c:pt idx="1465">
                  <c:v>43835</c:v>
                </c:pt>
                <c:pt idx="1466">
                  <c:v>43836</c:v>
                </c:pt>
                <c:pt idx="1467">
                  <c:v>43837</c:v>
                </c:pt>
                <c:pt idx="1468">
                  <c:v>43838</c:v>
                </c:pt>
                <c:pt idx="1469">
                  <c:v>43839</c:v>
                </c:pt>
                <c:pt idx="1470">
                  <c:v>43840</c:v>
                </c:pt>
                <c:pt idx="1471">
                  <c:v>43841</c:v>
                </c:pt>
                <c:pt idx="1472">
                  <c:v>43842</c:v>
                </c:pt>
                <c:pt idx="1473">
                  <c:v>43843</c:v>
                </c:pt>
                <c:pt idx="1474">
                  <c:v>43844</c:v>
                </c:pt>
                <c:pt idx="1475">
                  <c:v>43845</c:v>
                </c:pt>
                <c:pt idx="1476">
                  <c:v>43846</c:v>
                </c:pt>
                <c:pt idx="1477">
                  <c:v>43847</c:v>
                </c:pt>
                <c:pt idx="1478">
                  <c:v>43848</c:v>
                </c:pt>
                <c:pt idx="1479">
                  <c:v>43849</c:v>
                </c:pt>
                <c:pt idx="1480">
                  <c:v>43850</c:v>
                </c:pt>
                <c:pt idx="1481">
                  <c:v>43851</c:v>
                </c:pt>
                <c:pt idx="1482">
                  <c:v>43852</c:v>
                </c:pt>
                <c:pt idx="1483">
                  <c:v>43853</c:v>
                </c:pt>
                <c:pt idx="1484">
                  <c:v>43854</c:v>
                </c:pt>
                <c:pt idx="1485">
                  <c:v>43855</c:v>
                </c:pt>
                <c:pt idx="1486">
                  <c:v>43856</c:v>
                </c:pt>
                <c:pt idx="1487">
                  <c:v>43857</c:v>
                </c:pt>
                <c:pt idx="1488">
                  <c:v>43858</c:v>
                </c:pt>
                <c:pt idx="1489">
                  <c:v>43859</c:v>
                </c:pt>
                <c:pt idx="1490">
                  <c:v>43860</c:v>
                </c:pt>
                <c:pt idx="1491">
                  <c:v>43861</c:v>
                </c:pt>
                <c:pt idx="1492">
                  <c:v>43862</c:v>
                </c:pt>
                <c:pt idx="1493">
                  <c:v>43863</c:v>
                </c:pt>
                <c:pt idx="1494">
                  <c:v>43864</c:v>
                </c:pt>
                <c:pt idx="1495">
                  <c:v>43865</c:v>
                </c:pt>
                <c:pt idx="1496">
                  <c:v>43866</c:v>
                </c:pt>
                <c:pt idx="1497">
                  <c:v>43867</c:v>
                </c:pt>
                <c:pt idx="1498">
                  <c:v>43868</c:v>
                </c:pt>
                <c:pt idx="1499">
                  <c:v>43869</c:v>
                </c:pt>
                <c:pt idx="1500">
                  <c:v>43870</c:v>
                </c:pt>
                <c:pt idx="1501">
                  <c:v>43871</c:v>
                </c:pt>
                <c:pt idx="1502">
                  <c:v>43872</c:v>
                </c:pt>
                <c:pt idx="1503">
                  <c:v>43873</c:v>
                </c:pt>
                <c:pt idx="1504">
                  <c:v>43874</c:v>
                </c:pt>
                <c:pt idx="1505">
                  <c:v>43875</c:v>
                </c:pt>
                <c:pt idx="1506">
                  <c:v>43876</c:v>
                </c:pt>
                <c:pt idx="1507">
                  <c:v>43877</c:v>
                </c:pt>
                <c:pt idx="1508">
                  <c:v>43878</c:v>
                </c:pt>
                <c:pt idx="1509">
                  <c:v>43879</c:v>
                </c:pt>
                <c:pt idx="1510">
                  <c:v>43880</c:v>
                </c:pt>
                <c:pt idx="1511">
                  <c:v>43881</c:v>
                </c:pt>
                <c:pt idx="1512">
                  <c:v>43882</c:v>
                </c:pt>
                <c:pt idx="1513">
                  <c:v>43883</c:v>
                </c:pt>
                <c:pt idx="1514">
                  <c:v>43884</c:v>
                </c:pt>
                <c:pt idx="1515">
                  <c:v>43885</c:v>
                </c:pt>
                <c:pt idx="1516">
                  <c:v>43886</c:v>
                </c:pt>
                <c:pt idx="1517">
                  <c:v>43887</c:v>
                </c:pt>
                <c:pt idx="1518">
                  <c:v>43888</c:v>
                </c:pt>
                <c:pt idx="1519">
                  <c:v>43889</c:v>
                </c:pt>
                <c:pt idx="1520">
                  <c:v>43890</c:v>
                </c:pt>
                <c:pt idx="1521">
                  <c:v>43891</c:v>
                </c:pt>
                <c:pt idx="1522">
                  <c:v>43892</c:v>
                </c:pt>
                <c:pt idx="1523">
                  <c:v>43893</c:v>
                </c:pt>
                <c:pt idx="1524">
                  <c:v>43894</c:v>
                </c:pt>
                <c:pt idx="1525">
                  <c:v>43895</c:v>
                </c:pt>
                <c:pt idx="1526">
                  <c:v>43896</c:v>
                </c:pt>
                <c:pt idx="1527">
                  <c:v>43897</c:v>
                </c:pt>
                <c:pt idx="1528">
                  <c:v>43898</c:v>
                </c:pt>
                <c:pt idx="1529">
                  <c:v>43899</c:v>
                </c:pt>
                <c:pt idx="1530">
                  <c:v>43900</c:v>
                </c:pt>
                <c:pt idx="1531">
                  <c:v>43901</c:v>
                </c:pt>
                <c:pt idx="1532">
                  <c:v>43902</c:v>
                </c:pt>
                <c:pt idx="1533">
                  <c:v>43903</c:v>
                </c:pt>
                <c:pt idx="1534">
                  <c:v>43904</c:v>
                </c:pt>
                <c:pt idx="1535">
                  <c:v>43905</c:v>
                </c:pt>
                <c:pt idx="1536">
                  <c:v>43906</c:v>
                </c:pt>
                <c:pt idx="1537">
                  <c:v>43907</c:v>
                </c:pt>
                <c:pt idx="1538">
                  <c:v>43908</c:v>
                </c:pt>
                <c:pt idx="1539">
                  <c:v>43909</c:v>
                </c:pt>
                <c:pt idx="1540">
                  <c:v>43910</c:v>
                </c:pt>
                <c:pt idx="1541">
                  <c:v>43911</c:v>
                </c:pt>
                <c:pt idx="1542">
                  <c:v>43912</c:v>
                </c:pt>
                <c:pt idx="1543">
                  <c:v>43913</c:v>
                </c:pt>
                <c:pt idx="1544">
                  <c:v>43914</c:v>
                </c:pt>
                <c:pt idx="1545">
                  <c:v>43915</c:v>
                </c:pt>
                <c:pt idx="1546">
                  <c:v>43916</c:v>
                </c:pt>
                <c:pt idx="1547">
                  <c:v>43917</c:v>
                </c:pt>
                <c:pt idx="1548">
                  <c:v>43918</c:v>
                </c:pt>
                <c:pt idx="1549">
                  <c:v>43919</c:v>
                </c:pt>
                <c:pt idx="1550">
                  <c:v>43920</c:v>
                </c:pt>
                <c:pt idx="1551">
                  <c:v>43921</c:v>
                </c:pt>
                <c:pt idx="1552">
                  <c:v>43922</c:v>
                </c:pt>
                <c:pt idx="1553">
                  <c:v>43923</c:v>
                </c:pt>
                <c:pt idx="1554">
                  <c:v>43924</c:v>
                </c:pt>
                <c:pt idx="1555">
                  <c:v>43925</c:v>
                </c:pt>
                <c:pt idx="1556">
                  <c:v>43926</c:v>
                </c:pt>
                <c:pt idx="1557">
                  <c:v>43927</c:v>
                </c:pt>
                <c:pt idx="1558">
                  <c:v>43928</c:v>
                </c:pt>
                <c:pt idx="1559">
                  <c:v>43929</c:v>
                </c:pt>
                <c:pt idx="1560">
                  <c:v>43930</c:v>
                </c:pt>
                <c:pt idx="1561">
                  <c:v>43931</c:v>
                </c:pt>
                <c:pt idx="1562">
                  <c:v>43932</c:v>
                </c:pt>
                <c:pt idx="1563">
                  <c:v>43933</c:v>
                </c:pt>
                <c:pt idx="1564">
                  <c:v>43934</c:v>
                </c:pt>
                <c:pt idx="1565">
                  <c:v>43935</c:v>
                </c:pt>
                <c:pt idx="1566">
                  <c:v>43936</c:v>
                </c:pt>
                <c:pt idx="1567">
                  <c:v>43937</c:v>
                </c:pt>
                <c:pt idx="1568">
                  <c:v>43938</c:v>
                </c:pt>
                <c:pt idx="1569">
                  <c:v>43939</c:v>
                </c:pt>
                <c:pt idx="1570">
                  <c:v>43940</c:v>
                </c:pt>
                <c:pt idx="1571">
                  <c:v>43941</c:v>
                </c:pt>
                <c:pt idx="1572">
                  <c:v>43942</c:v>
                </c:pt>
                <c:pt idx="1573">
                  <c:v>43943</c:v>
                </c:pt>
                <c:pt idx="1574">
                  <c:v>43944</c:v>
                </c:pt>
                <c:pt idx="1575">
                  <c:v>43945</c:v>
                </c:pt>
                <c:pt idx="1576">
                  <c:v>43946</c:v>
                </c:pt>
                <c:pt idx="1577">
                  <c:v>43947</c:v>
                </c:pt>
                <c:pt idx="1578">
                  <c:v>43948</c:v>
                </c:pt>
                <c:pt idx="1579">
                  <c:v>43949</c:v>
                </c:pt>
                <c:pt idx="1580">
                  <c:v>43950</c:v>
                </c:pt>
                <c:pt idx="1581">
                  <c:v>43951</c:v>
                </c:pt>
                <c:pt idx="1582">
                  <c:v>43952</c:v>
                </c:pt>
                <c:pt idx="1583">
                  <c:v>43953</c:v>
                </c:pt>
                <c:pt idx="1584">
                  <c:v>43954</c:v>
                </c:pt>
                <c:pt idx="1585">
                  <c:v>43955</c:v>
                </c:pt>
                <c:pt idx="1586">
                  <c:v>43956</c:v>
                </c:pt>
                <c:pt idx="1587">
                  <c:v>43957</c:v>
                </c:pt>
                <c:pt idx="1588">
                  <c:v>43958</c:v>
                </c:pt>
                <c:pt idx="1589">
                  <c:v>43959</c:v>
                </c:pt>
                <c:pt idx="1590">
                  <c:v>43960</c:v>
                </c:pt>
                <c:pt idx="1591">
                  <c:v>43961</c:v>
                </c:pt>
                <c:pt idx="1592">
                  <c:v>43962</c:v>
                </c:pt>
                <c:pt idx="1593">
                  <c:v>43963</c:v>
                </c:pt>
                <c:pt idx="1594">
                  <c:v>43964</c:v>
                </c:pt>
                <c:pt idx="1595">
                  <c:v>43965</c:v>
                </c:pt>
                <c:pt idx="1596">
                  <c:v>43966</c:v>
                </c:pt>
                <c:pt idx="1597">
                  <c:v>43967</c:v>
                </c:pt>
                <c:pt idx="1598">
                  <c:v>43968</c:v>
                </c:pt>
                <c:pt idx="1599">
                  <c:v>43969</c:v>
                </c:pt>
                <c:pt idx="1600">
                  <c:v>43970</c:v>
                </c:pt>
                <c:pt idx="1601">
                  <c:v>43971</c:v>
                </c:pt>
                <c:pt idx="1602">
                  <c:v>43972</c:v>
                </c:pt>
                <c:pt idx="1603">
                  <c:v>43973</c:v>
                </c:pt>
                <c:pt idx="1604">
                  <c:v>43974</c:v>
                </c:pt>
                <c:pt idx="1605">
                  <c:v>43975</c:v>
                </c:pt>
                <c:pt idx="1606">
                  <c:v>43976</c:v>
                </c:pt>
                <c:pt idx="1607">
                  <c:v>43977</c:v>
                </c:pt>
                <c:pt idx="1608">
                  <c:v>43978</c:v>
                </c:pt>
                <c:pt idx="1609">
                  <c:v>43979</c:v>
                </c:pt>
                <c:pt idx="1610">
                  <c:v>43980</c:v>
                </c:pt>
                <c:pt idx="1611">
                  <c:v>43981</c:v>
                </c:pt>
                <c:pt idx="1612">
                  <c:v>43982</c:v>
                </c:pt>
                <c:pt idx="1613">
                  <c:v>43983</c:v>
                </c:pt>
                <c:pt idx="1614">
                  <c:v>43984</c:v>
                </c:pt>
                <c:pt idx="1615">
                  <c:v>43985</c:v>
                </c:pt>
                <c:pt idx="1616">
                  <c:v>43986</c:v>
                </c:pt>
                <c:pt idx="1617">
                  <c:v>43987</c:v>
                </c:pt>
                <c:pt idx="1618">
                  <c:v>43988</c:v>
                </c:pt>
                <c:pt idx="1619">
                  <c:v>43989</c:v>
                </c:pt>
                <c:pt idx="1620">
                  <c:v>43990</c:v>
                </c:pt>
                <c:pt idx="1621">
                  <c:v>43991</c:v>
                </c:pt>
                <c:pt idx="1622">
                  <c:v>43992</c:v>
                </c:pt>
                <c:pt idx="1623">
                  <c:v>43993</c:v>
                </c:pt>
                <c:pt idx="1624">
                  <c:v>43994</c:v>
                </c:pt>
                <c:pt idx="1625">
                  <c:v>43995</c:v>
                </c:pt>
                <c:pt idx="1626">
                  <c:v>43996</c:v>
                </c:pt>
                <c:pt idx="1627">
                  <c:v>43997</c:v>
                </c:pt>
                <c:pt idx="1628">
                  <c:v>43998</c:v>
                </c:pt>
                <c:pt idx="1629">
                  <c:v>43999</c:v>
                </c:pt>
                <c:pt idx="1630">
                  <c:v>44000</c:v>
                </c:pt>
                <c:pt idx="1631">
                  <c:v>44001</c:v>
                </c:pt>
                <c:pt idx="1632">
                  <c:v>44002</c:v>
                </c:pt>
                <c:pt idx="1633">
                  <c:v>44003</c:v>
                </c:pt>
                <c:pt idx="1634">
                  <c:v>44004</c:v>
                </c:pt>
                <c:pt idx="1635">
                  <c:v>44005</c:v>
                </c:pt>
                <c:pt idx="1636">
                  <c:v>44006</c:v>
                </c:pt>
                <c:pt idx="1637">
                  <c:v>44007</c:v>
                </c:pt>
                <c:pt idx="1638">
                  <c:v>44008</c:v>
                </c:pt>
                <c:pt idx="1639">
                  <c:v>44009</c:v>
                </c:pt>
                <c:pt idx="1640">
                  <c:v>44010</c:v>
                </c:pt>
                <c:pt idx="1641">
                  <c:v>44011</c:v>
                </c:pt>
                <c:pt idx="1642">
                  <c:v>44012</c:v>
                </c:pt>
                <c:pt idx="1643">
                  <c:v>44013</c:v>
                </c:pt>
                <c:pt idx="1644">
                  <c:v>44014</c:v>
                </c:pt>
                <c:pt idx="1645">
                  <c:v>44015</c:v>
                </c:pt>
                <c:pt idx="1646">
                  <c:v>44016</c:v>
                </c:pt>
                <c:pt idx="1647">
                  <c:v>44017</c:v>
                </c:pt>
                <c:pt idx="1648">
                  <c:v>44018</c:v>
                </c:pt>
                <c:pt idx="1649">
                  <c:v>44019</c:v>
                </c:pt>
                <c:pt idx="1650">
                  <c:v>44020</c:v>
                </c:pt>
                <c:pt idx="1651">
                  <c:v>44021</c:v>
                </c:pt>
                <c:pt idx="1652">
                  <c:v>44022</c:v>
                </c:pt>
                <c:pt idx="1653">
                  <c:v>44023</c:v>
                </c:pt>
                <c:pt idx="1654">
                  <c:v>44024</c:v>
                </c:pt>
                <c:pt idx="1655">
                  <c:v>44025</c:v>
                </c:pt>
                <c:pt idx="1656">
                  <c:v>44026</c:v>
                </c:pt>
                <c:pt idx="1657">
                  <c:v>44027</c:v>
                </c:pt>
                <c:pt idx="1658">
                  <c:v>44028</c:v>
                </c:pt>
                <c:pt idx="1659">
                  <c:v>44029</c:v>
                </c:pt>
                <c:pt idx="1660">
                  <c:v>44030</c:v>
                </c:pt>
                <c:pt idx="1661">
                  <c:v>44031</c:v>
                </c:pt>
                <c:pt idx="1662">
                  <c:v>44032</c:v>
                </c:pt>
                <c:pt idx="1663">
                  <c:v>44033</c:v>
                </c:pt>
                <c:pt idx="1664">
                  <c:v>44034</c:v>
                </c:pt>
                <c:pt idx="1665">
                  <c:v>44035</c:v>
                </c:pt>
                <c:pt idx="1666">
                  <c:v>44036</c:v>
                </c:pt>
                <c:pt idx="1667">
                  <c:v>44037</c:v>
                </c:pt>
                <c:pt idx="1668">
                  <c:v>44038</c:v>
                </c:pt>
                <c:pt idx="1669">
                  <c:v>44039</c:v>
                </c:pt>
                <c:pt idx="1670">
                  <c:v>44040</c:v>
                </c:pt>
                <c:pt idx="1671">
                  <c:v>44041</c:v>
                </c:pt>
                <c:pt idx="1672">
                  <c:v>44042</c:v>
                </c:pt>
                <c:pt idx="1673">
                  <c:v>44043</c:v>
                </c:pt>
              </c:numCache>
            </c:numRef>
          </c:cat>
          <c:val>
            <c:numRef>
              <c:f>ceoSubs!$B$2:$B$1675</c:f>
              <c:numCache>
                <c:formatCode>General</c:formatCode>
                <c:ptCount val="1674"/>
                <c:pt idx="0">
                  <c:v>70</c:v>
                </c:pt>
                <c:pt idx="1">
                  <c:v>70.049734586866904</c:v>
                </c:pt>
                <c:pt idx="2">
                  <c:v>70.101751838351404</c:v>
                </c:pt>
                <c:pt idx="3">
                  <c:v>70.148635855901901</c:v>
                </c:pt>
                <c:pt idx="4">
                  <c:v>70.195974540278399</c:v>
                </c:pt>
                <c:pt idx="5">
                  <c:v>70.238554816439603</c:v>
                </c:pt>
                <c:pt idx="6">
                  <c:v>70.277272082522103</c:v>
                </c:pt>
                <c:pt idx="7">
                  <c:v>70.328016253407895</c:v>
                </c:pt>
                <c:pt idx="8">
                  <c:v>70.376559282968003</c:v>
                </c:pt>
                <c:pt idx="9">
                  <c:v>70.421846916178197</c:v>
                </c:pt>
                <c:pt idx="10">
                  <c:v>70.472645766007403</c:v>
                </c:pt>
                <c:pt idx="11">
                  <c:v>70.517685415140406</c:v>
                </c:pt>
                <c:pt idx="12">
                  <c:v>70.566683964475899</c:v>
                </c:pt>
                <c:pt idx="13">
                  <c:v>70.615379562433503</c:v>
                </c:pt>
                <c:pt idx="14">
                  <c:v>70.665653692010807</c:v>
                </c:pt>
                <c:pt idx="15">
                  <c:v>70.716647888753897</c:v>
                </c:pt>
                <c:pt idx="16">
                  <c:v>70.763887185230502</c:v>
                </c:pt>
                <c:pt idx="17">
                  <c:v>70.812629356531104</c:v>
                </c:pt>
                <c:pt idx="18">
                  <c:v>70.861564121945094</c:v>
                </c:pt>
                <c:pt idx="19">
                  <c:v>70.907566691782506</c:v>
                </c:pt>
                <c:pt idx="20">
                  <c:v>70.958574135759505</c:v>
                </c:pt>
                <c:pt idx="21">
                  <c:v>71.010733596602293</c:v>
                </c:pt>
                <c:pt idx="22">
                  <c:v>71.059138568874403</c:v>
                </c:pt>
                <c:pt idx="23">
                  <c:v>71.102994855858199</c:v>
                </c:pt>
                <c:pt idx="24">
                  <c:v>71.151348616708304</c:v>
                </c:pt>
                <c:pt idx="25">
                  <c:v>71.198836456164102</c:v>
                </c:pt>
                <c:pt idx="26">
                  <c:v>71.251256632712398</c:v>
                </c:pt>
                <c:pt idx="27">
                  <c:v>71.303228064619105</c:v>
                </c:pt>
                <c:pt idx="28">
                  <c:v>71.355178030172098</c:v>
                </c:pt>
                <c:pt idx="29">
                  <c:v>71.409132265637297</c:v>
                </c:pt>
                <c:pt idx="30">
                  <c:v>71.459707416366797</c:v>
                </c:pt>
                <c:pt idx="31">
                  <c:v>71.507377039495594</c:v>
                </c:pt>
                <c:pt idx="32">
                  <c:v>71.555863476551295</c:v>
                </c:pt>
                <c:pt idx="33">
                  <c:v>71.608204735490006</c:v>
                </c:pt>
                <c:pt idx="34">
                  <c:v>71.656857490820002</c:v>
                </c:pt>
                <c:pt idx="35">
                  <c:v>71.707630862118293</c:v>
                </c:pt>
                <c:pt idx="36">
                  <c:v>71.758411546252603</c:v>
                </c:pt>
                <c:pt idx="37">
                  <c:v>71.810864127810902</c:v>
                </c:pt>
                <c:pt idx="38">
                  <c:v>71.858011522182295</c:v>
                </c:pt>
                <c:pt idx="39">
                  <c:v>71.9105409699456</c:v>
                </c:pt>
                <c:pt idx="40">
                  <c:v>71.957327192690201</c:v>
                </c:pt>
                <c:pt idx="41">
                  <c:v>72.011999529358206</c:v>
                </c:pt>
                <c:pt idx="42">
                  <c:v>72.059612327890804</c:v>
                </c:pt>
                <c:pt idx="43">
                  <c:v>72.113234349000393</c:v>
                </c:pt>
                <c:pt idx="44">
                  <c:v>72.164005866311498</c:v>
                </c:pt>
                <c:pt idx="45">
                  <c:v>72.216885897201905</c:v>
                </c:pt>
                <c:pt idx="46">
                  <c:v>72.272149069260394</c:v>
                </c:pt>
                <c:pt idx="47">
                  <c:v>72.319934403999497</c:v>
                </c:pt>
                <c:pt idx="48">
                  <c:v>72.369989210097302</c:v>
                </c:pt>
                <c:pt idx="49">
                  <c:v>72.422744819607502</c:v>
                </c:pt>
                <c:pt idx="50">
                  <c:v>72.477228284358503</c:v>
                </c:pt>
                <c:pt idx="51">
                  <c:v>72.529994448403798</c:v>
                </c:pt>
                <c:pt idx="52">
                  <c:v>72.585616931571593</c:v>
                </c:pt>
                <c:pt idx="53">
                  <c:v>72.630679323106094</c:v>
                </c:pt>
                <c:pt idx="54">
                  <c:v>72.6828899843768</c:v>
                </c:pt>
                <c:pt idx="55">
                  <c:v>72.735586657089996</c:v>
                </c:pt>
                <c:pt idx="56">
                  <c:v>72.782638593800399</c:v>
                </c:pt>
                <c:pt idx="57">
                  <c:v>72.832181960254104</c:v>
                </c:pt>
                <c:pt idx="58">
                  <c:v>72.876369847804199</c:v>
                </c:pt>
                <c:pt idx="59">
                  <c:v>72.923306796016305</c:v>
                </c:pt>
                <c:pt idx="60">
                  <c:v>72.972946602444495</c:v>
                </c:pt>
                <c:pt idx="61">
                  <c:v>73.016968032248698</c:v>
                </c:pt>
                <c:pt idx="62">
                  <c:v>73.065241050280505</c:v>
                </c:pt>
                <c:pt idx="63">
                  <c:v>73.123621849687297</c:v>
                </c:pt>
                <c:pt idx="64">
                  <c:v>73.1717584949117</c:v>
                </c:pt>
                <c:pt idx="65">
                  <c:v>73.224314349761102</c:v>
                </c:pt>
                <c:pt idx="66">
                  <c:v>73.276280483328406</c:v>
                </c:pt>
                <c:pt idx="67">
                  <c:v>73.329169758151295</c:v>
                </c:pt>
                <c:pt idx="68">
                  <c:v>73.381442155011001</c:v>
                </c:pt>
                <c:pt idx="69">
                  <c:v>73.429804992669304</c:v>
                </c:pt>
                <c:pt idx="70">
                  <c:v>73.476089931998899</c:v>
                </c:pt>
                <c:pt idx="71">
                  <c:v>73.527259730022294</c:v>
                </c:pt>
                <c:pt idx="72">
                  <c:v>73.573797748507005</c:v>
                </c:pt>
                <c:pt idx="73">
                  <c:v>73.620362618703496</c:v>
                </c:pt>
                <c:pt idx="74">
                  <c:v>73.673827022220294</c:v>
                </c:pt>
                <c:pt idx="75">
                  <c:v>73.7247923689538</c:v>
                </c:pt>
                <c:pt idx="76">
                  <c:v>73.775399602004995</c:v>
                </c:pt>
                <c:pt idx="77">
                  <c:v>73.827436429867703</c:v>
                </c:pt>
                <c:pt idx="78">
                  <c:v>73.875594810528597</c:v>
                </c:pt>
                <c:pt idx="79">
                  <c:v>73.922574272283896</c:v>
                </c:pt>
                <c:pt idx="80">
                  <c:v>73.969289167744606</c:v>
                </c:pt>
                <c:pt idx="81">
                  <c:v>74.016034037952707</c:v>
                </c:pt>
                <c:pt idx="82">
                  <c:v>74.068459270603896</c:v>
                </c:pt>
                <c:pt idx="83">
                  <c:v>74.117041644227498</c:v>
                </c:pt>
                <c:pt idx="84">
                  <c:v>74.1655325951386</c:v>
                </c:pt>
                <c:pt idx="85">
                  <c:v>74.212156896226602</c:v>
                </c:pt>
                <c:pt idx="86">
                  <c:v>74.264064424151698</c:v>
                </c:pt>
                <c:pt idx="87">
                  <c:v>74.3127910847697</c:v>
                </c:pt>
                <c:pt idx="88">
                  <c:v>74.362042949068197</c:v>
                </c:pt>
                <c:pt idx="89">
                  <c:v>74.4171745054864</c:v>
                </c:pt>
                <c:pt idx="90">
                  <c:v>74.471083240489193</c:v>
                </c:pt>
                <c:pt idx="91">
                  <c:v>74.528329795349507</c:v>
                </c:pt>
                <c:pt idx="92">
                  <c:v>74.576247452769493</c:v>
                </c:pt>
                <c:pt idx="93">
                  <c:v>74.629461539972496</c:v>
                </c:pt>
                <c:pt idx="94">
                  <c:v>74.673776162105099</c:v>
                </c:pt>
                <c:pt idx="95">
                  <c:v>74.729764526489603</c:v>
                </c:pt>
                <c:pt idx="96">
                  <c:v>74.779578871457403</c:v>
                </c:pt>
                <c:pt idx="97">
                  <c:v>74.8359765596297</c:v>
                </c:pt>
                <c:pt idx="98">
                  <c:v>74.891565044147498</c:v>
                </c:pt>
                <c:pt idx="99">
                  <c:v>74.941052224370793</c:v>
                </c:pt>
                <c:pt idx="100">
                  <c:v>74.993653251970798</c:v>
                </c:pt>
                <c:pt idx="101">
                  <c:v>75.042388719538707</c:v>
                </c:pt>
                <c:pt idx="102">
                  <c:v>75.0961905917368</c:v>
                </c:pt>
                <c:pt idx="103">
                  <c:v>75.141389575515603</c:v>
                </c:pt>
                <c:pt idx="104">
                  <c:v>75.192627724400793</c:v>
                </c:pt>
                <c:pt idx="105">
                  <c:v>75.241489513453104</c:v>
                </c:pt>
                <c:pt idx="106">
                  <c:v>75.291596911385795</c:v>
                </c:pt>
                <c:pt idx="107">
                  <c:v>75.348922950030897</c:v>
                </c:pt>
                <c:pt idx="108">
                  <c:v>75.397110517599202</c:v>
                </c:pt>
                <c:pt idx="109">
                  <c:v>75.450765092216002</c:v>
                </c:pt>
                <c:pt idx="110">
                  <c:v>75.5061828727912</c:v>
                </c:pt>
                <c:pt idx="111">
                  <c:v>75.556937436065496</c:v>
                </c:pt>
                <c:pt idx="112">
                  <c:v>75.607621680524304</c:v>
                </c:pt>
                <c:pt idx="113">
                  <c:v>75.653691570789107</c:v>
                </c:pt>
                <c:pt idx="114">
                  <c:v>75.708859825993102</c:v>
                </c:pt>
                <c:pt idx="115">
                  <c:v>75.754114766769803</c:v>
                </c:pt>
                <c:pt idx="116">
                  <c:v>75.800108616741099</c:v>
                </c:pt>
                <c:pt idx="117">
                  <c:v>75.855228104784203</c:v>
                </c:pt>
                <c:pt idx="118">
                  <c:v>75.911640201486307</c:v>
                </c:pt>
                <c:pt idx="119">
                  <c:v>75.962561770152703</c:v>
                </c:pt>
                <c:pt idx="120">
                  <c:v>76.019572679330494</c:v>
                </c:pt>
                <c:pt idx="121">
                  <c:v>76.072259383050294</c:v>
                </c:pt>
                <c:pt idx="122">
                  <c:v>76.125576228934904</c:v>
                </c:pt>
                <c:pt idx="123">
                  <c:v>76.171119343079496</c:v>
                </c:pt>
                <c:pt idx="124">
                  <c:v>76.222321229931595</c:v>
                </c:pt>
                <c:pt idx="125">
                  <c:v>76.269717229033702</c:v>
                </c:pt>
                <c:pt idx="126">
                  <c:v>76.327538483044194</c:v>
                </c:pt>
                <c:pt idx="127">
                  <c:v>76.374573031482598</c:v>
                </c:pt>
                <c:pt idx="128">
                  <c:v>76.427802119301006</c:v>
                </c:pt>
                <c:pt idx="129">
                  <c:v>76.475964612475593</c:v>
                </c:pt>
                <c:pt idx="130">
                  <c:v>76.536614006003404</c:v>
                </c:pt>
                <c:pt idx="131">
                  <c:v>76.592523747179598</c:v>
                </c:pt>
                <c:pt idx="132">
                  <c:v>76.645974605940296</c:v>
                </c:pt>
                <c:pt idx="133">
                  <c:v>76.701337282497605</c:v>
                </c:pt>
                <c:pt idx="134">
                  <c:v>76.750372743342595</c:v>
                </c:pt>
                <c:pt idx="135">
                  <c:v>76.7994737546327</c:v>
                </c:pt>
                <c:pt idx="136">
                  <c:v>76.851136813939803</c:v>
                </c:pt>
                <c:pt idx="137">
                  <c:v>76.904176208725204</c:v>
                </c:pt>
                <c:pt idx="138">
                  <c:v>76.959833447985702</c:v>
                </c:pt>
                <c:pt idx="139">
                  <c:v>77.012129252164598</c:v>
                </c:pt>
                <c:pt idx="140">
                  <c:v>77.063225887207096</c:v>
                </c:pt>
                <c:pt idx="141">
                  <c:v>77.114470997811097</c:v>
                </c:pt>
                <c:pt idx="142">
                  <c:v>77.167836341778894</c:v>
                </c:pt>
                <c:pt idx="143">
                  <c:v>77.221478836036894</c:v>
                </c:pt>
                <c:pt idx="144">
                  <c:v>77.278260785511605</c:v>
                </c:pt>
                <c:pt idx="145">
                  <c:v>77.331440540053094</c:v>
                </c:pt>
                <c:pt idx="146">
                  <c:v>77.381132927039502</c:v>
                </c:pt>
                <c:pt idx="147">
                  <c:v>77.433597601678599</c:v>
                </c:pt>
                <c:pt idx="148">
                  <c:v>77.487958510575595</c:v>
                </c:pt>
                <c:pt idx="149">
                  <c:v>77.538657960797707</c:v>
                </c:pt>
                <c:pt idx="150">
                  <c:v>77.599238783823196</c:v>
                </c:pt>
                <c:pt idx="151">
                  <c:v>77.649580257937899</c:v>
                </c:pt>
                <c:pt idx="152">
                  <c:v>77.706812722681704</c:v>
                </c:pt>
                <c:pt idx="153">
                  <c:v>77.758559262728795</c:v>
                </c:pt>
                <c:pt idx="154">
                  <c:v>77.813843521490298</c:v>
                </c:pt>
                <c:pt idx="155">
                  <c:v>77.868807660644904</c:v>
                </c:pt>
                <c:pt idx="156">
                  <c:v>77.920700740403305</c:v>
                </c:pt>
                <c:pt idx="157">
                  <c:v>77.973422346043506</c:v>
                </c:pt>
                <c:pt idx="158">
                  <c:v>78.027681326969798</c:v>
                </c:pt>
                <c:pt idx="159">
                  <c:v>78.082884072379898</c:v>
                </c:pt>
                <c:pt idx="160">
                  <c:v>78.134854797184204</c:v>
                </c:pt>
                <c:pt idx="161">
                  <c:v>78.189177252691493</c:v>
                </c:pt>
                <c:pt idx="162">
                  <c:v>78.242900608208103</c:v>
                </c:pt>
                <c:pt idx="163">
                  <c:v>78.292889880010705</c:v>
                </c:pt>
                <c:pt idx="164">
                  <c:v>78.343848184240798</c:v>
                </c:pt>
                <c:pt idx="165">
                  <c:v>78.395720349036907</c:v>
                </c:pt>
                <c:pt idx="166">
                  <c:v>78.449566715966697</c:v>
                </c:pt>
                <c:pt idx="167">
                  <c:v>78.495951939192395</c:v>
                </c:pt>
                <c:pt idx="168">
                  <c:v>78.549925987192196</c:v>
                </c:pt>
                <c:pt idx="169">
                  <c:v>78.601834990262603</c:v>
                </c:pt>
                <c:pt idx="170">
                  <c:v>78.647256879914096</c:v>
                </c:pt>
                <c:pt idx="171">
                  <c:v>78.702013531652696</c:v>
                </c:pt>
                <c:pt idx="172">
                  <c:v>78.760666355792296</c:v>
                </c:pt>
                <c:pt idx="173">
                  <c:v>78.818177944142604</c:v>
                </c:pt>
                <c:pt idx="174">
                  <c:v>78.869915979685999</c:v>
                </c:pt>
                <c:pt idx="175">
                  <c:v>78.924372248605593</c:v>
                </c:pt>
                <c:pt idx="176">
                  <c:v>78.9773994865715</c:v>
                </c:pt>
                <c:pt idx="177">
                  <c:v>79.035570523409703</c:v>
                </c:pt>
                <c:pt idx="178">
                  <c:v>79.093538986235103</c:v>
                </c:pt>
                <c:pt idx="179">
                  <c:v>79.147607991049497</c:v>
                </c:pt>
                <c:pt idx="180">
                  <c:v>79.199263611852203</c:v>
                </c:pt>
                <c:pt idx="181">
                  <c:v>79.252820343193704</c:v>
                </c:pt>
                <c:pt idx="182">
                  <c:v>79.304735938560995</c:v>
                </c:pt>
                <c:pt idx="183">
                  <c:v>79.359683077806096</c:v>
                </c:pt>
                <c:pt idx="184">
                  <c:v>79.414562555502201</c:v>
                </c:pt>
                <c:pt idx="185">
                  <c:v>79.466900434084394</c:v>
                </c:pt>
                <c:pt idx="186">
                  <c:v>79.5209828971051</c:v>
                </c:pt>
                <c:pt idx="187">
                  <c:v>79.572488023098003</c:v>
                </c:pt>
                <c:pt idx="188">
                  <c:v>79.627972520707203</c:v>
                </c:pt>
                <c:pt idx="189">
                  <c:v>79.687423904585401</c:v>
                </c:pt>
                <c:pt idx="190">
                  <c:v>79.738496836447993</c:v>
                </c:pt>
                <c:pt idx="191">
                  <c:v>79.793669646938994</c:v>
                </c:pt>
                <c:pt idx="192">
                  <c:v>79.847369184411306</c:v>
                </c:pt>
                <c:pt idx="193">
                  <c:v>79.902326211634801</c:v>
                </c:pt>
                <c:pt idx="194">
                  <c:v>79.955645659591497</c:v>
                </c:pt>
                <c:pt idx="195">
                  <c:v>80.0028146965453</c:v>
                </c:pt>
                <c:pt idx="196">
                  <c:v>80.061818551118506</c:v>
                </c:pt>
                <c:pt idx="197">
                  <c:v>80.114303901213702</c:v>
                </c:pt>
                <c:pt idx="198">
                  <c:v>80.170189934386002</c:v>
                </c:pt>
                <c:pt idx="199">
                  <c:v>80.227825151791606</c:v>
                </c:pt>
                <c:pt idx="200">
                  <c:v>80.283975057021607</c:v>
                </c:pt>
                <c:pt idx="201">
                  <c:v>80.336545732608698</c:v>
                </c:pt>
                <c:pt idx="202">
                  <c:v>80.388504717778204</c:v>
                </c:pt>
                <c:pt idx="203">
                  <c:v>80.448072175042398</c:v>
                </c:pt>
                <c:pt idx="204">
                  <c:v>80.505047463638206</c:v>
                </c:pt>
                <c:pt idx="205">
                  <c:v>80.563334014018807</c:v>
                </c:pt>
                <c:pt idx="206">
                  <c:v>80.621970604096802</c:v>
                </c:pt>
                <c:pt idx="207">
                  <c:v>80.682649699936903</c:v>
                </c:pt>
                <c:pt idx="208">
                  <c:v>80.735591677826704</c:v>
                </c:pt>
                <c:pt idx="209">
                  <c:v>80.785930262606499</c:v>
                </c:pt>
                <c:pt idx="210">
                  <c:v>80.847494255913503</c:v>
                </c:pt>
                <c:pt idx="211">
                  <c:v>80.900831784913706</c:v>
                </c:pt>
                <c:pt idx="212">
                  <c:v>80.9535030279484</c:v>
                </c:pt>
                <c:pt idx="213">
                  <c:v>81.009454545995695</c:v>
                </c:pt>
                <c:pt idx="214">
                  <c:v>81.069328328765593</c:v>
                </c:pt>
                <c:pt idx="215">
                  <c:v>81.126180400143397</c:v>
                </c:pt>
                <c:pt idx="216">
                  <c:v>81.186432644349097</c:v>
                </c:pt>
                <c:pt idx="217">
                  <c:v>81.236745355626795</c:v>
                </c:pt>
                <c:pt idx="218">
                  <c:v>81.294940726199997</c:v>
                </c:pt>
                <c:pt idx="219">
                  <c:v>81.351915331176599</c:v>
                </c:pt>
                <c:pt idx="220">
                  <c:v>81.410686366658297</c:v>
                </c:pt>
                <c:pt idx="221">
                  <c:v>81.468217732424705</c:v>
                </c:pt>
                <c:pt idx="222">
                  <c:v>81.521052951025695</c:v>
                </c:pt>
                <c:pt idx="223">
                  <c:v>81.579002560914702</c:v>
                </c:pt>
                <c:pt idx="224">
                  <c:v>81.636774490169003</c:v>
                </c:pt>
                <c:pt idx="225">
                  <c:v>81.698893829006707</c:v>
                </c:pt>
                <c:pt idx="226">
                  <c:v>81.746216938019401</c:v>
                </c:pt>
                <c:pt idx="227">
                  <c:v>81.8027219168074</c:v>
                </c:pt>
                <c:pt idx="228">
                  <c:v>81.862620857534097</c:v>
                </c:pt>
                <c:pt idx="229">
                  <c:v>81.919640290107097</c:v>
                </c:pt>
                <c:pt idx="230">
                  <c:v>81.975846944193293</c:v>
                </c:pt>
                <c:pt idx="231">
                  <c:v>82.030995855802999</c:v>
                </c:pt>
                <c:pt idx="232">
                  <c:v>82.087861452208102</c:v>
                </c:pt>
                <c:pt idx="233">
                  <c:v>82.149479151065293</c:v>
                </c:pt>
                <c:pt idx="234">
                  <c:v>82.207651472796101</c:v>
                </c:pt>
                <c:pt idx="235">
                  <c:v>82.266340225708305</c:v>
                </c:pt>
                <c:pt idx="236">
                  <c:v>82.325579625101398</c:v>
                </c:pt>
                <c:pt idx="237">
                  <c:v>82.382277197603699</c:v>
                </c:pt>
                <c:pt idx="238">
                  <c:v>82.440603471804195</c:v>
                </c:pt>
                <c:pt idx="239">
                  <c:v>82.501288477689997</c:v>
                </c:pt>
                <c:pt idx="240">
                  <c:v>82.554364065147197</c:v>
                </c:pt>
                <c:pt idx="241">
                  <c:v>82.608911760210901</c:v>
                </c:pt>
                <c:pt idx="242">
                  <c:v>82.660052697463001</c:v>
                </c:pt>
                <c:pt idx="243">
                  <c:v>82.715446981910304</c:v>
                </c:pt>
                <c:pt idx="244">
                  <c:v>82.761433847876702</c:v>
                </c:pt>
                <c:pt idx="245">
                  <c:v>82.821168357180099</c:v>
                </c:pt>
                <c:pt idx="246">
                  <c:v>82.882538579403999</c:v>
                </c:pt>
                <c:pt idx="247">
                  <c:v>82.937990065718097</c:v>
                </c:pt>
                <c:pt idx="248">
                  <c:v>82.993904632536299</c:v>
                </c:pt>
                <c:pt idx="249">
                  <c:v>83.051362435673298</c:v>
                </c:pt>
                <c:pt idx="250">
                  <c:v>83.108633945384</c:v>
                </c:pt>
                <c:pt idx="251">
                  <c:v>83.160959658921996</c:v>
                </c:pt>
                <c:pt idx="252">
                  <c:v>83.218877551185997</c:v>
                </c:pt>
                <c:pt idx="253">
                  <c:v>83.277044433369994</c:v>
                </c:pt>
                <c:pt idx="254">
                  <c:v>83.335667591996497</c:v>
                </c:pt>
                <c:pt idx="255">
                  <c:v>83.396503417027205</c:v>
                </c:pt>
                <c:pt idx="256">
                  <c:v>83.451671844636294</c:v>
                </c:pt>
                <c:pt idx="257">
                  <c:v>83.512368540009902</c:v>
                </c:pt>
                <c:pt idx="258">
                  <c:v>83.573946448451807</c:v>
                </c:pt>
                <c:pt idx="259">
                  <c:v>83.625604293399604</c:v>
                </c:pt>
                <c:pt idx="260">
                  <c:v>83.680080232831799</c:v>
                </c:pt>
                <c:pt idx="261">
                  <c:v>83.735124099723294</c:v>
                </c:pt>
                <c:pt idx="262">
                  <c:v>83.797614164889097</c:v>
                </c:pt>
                <c:pt idx="263">
                  <c:v>83.858205655744698</c:v>
                </c:pt>
                <c:pt idx="264">
                  <c:v>83.916239258575203</c:v>
                </c:pt>
                <c:pt idx="265">
                  <c:v>83.972801532992193</c:v>
                </c:pt>
                <c:pt idx="266">
                  <c:v>84.026378519937793</c:v>
                </c:pt>
                <c:pt idx="267">
                  <c:v>84.080674642054902</c:v>
                </c:pt>
                <c:pt idx="268">
                  <c:v>84.131390006388401</c:v>
                </c:pt>
                <c:pt idx="269">
                  <c:v>84.191678059014393</c:v>
                </c:pt>
                <c:pt idx="270">
                  <c:v>84.241946402328907</c:v>
                </c:pt>
                <c:pt idx="271">
                  <c:v>84.296881428187305</c:v>
                </c:pt>
                <c:pt idx="272">
                  <c:v>84.348709027518694</c:v>
                </c:pt>
                <c:pt idx="273">
                  <c:v>84.404453477866497</c:v>
                </c:pt>
                <c:pt idx="274">
                  <c:v>84.467694229724302</c:v>
                </c:pt>
                <c:pt idx="275">
                  <c:v>84.524727570451901</c:v>
                </c:pt>
                <c:pt idx="276">
                  <c:v>84.5878054353294</c:v>
                </c:pt>
                <c:pt idx="277">
                  <c:v>84.640773459043601</c:v>
                </c:pt>
                <c:pt idx="278">
                  <c:v>84.7048825931994</c:v>
                </c:pt>
                <c:pt idx="279">
                  <c:v>84.764038848489193</c:v>
                </c:pt>
                <c:pt idx="280">
                  <c:v>84.822666656996205</c:v>
                </c:pt>
                <c:pt idx="281">
                  <c:v>84.876856068856597</c:v>
                </c:pt>
                <c:pt idx="282">
                  <c:v>84.932298863738197</c:v>
                </c:pt>
                <c:pt idx="283">
                  <c:v>84.987916398552997</c:v>
                </c:pt>
                <c:pt idx="284">
                  <c:v>85.050985279772803</c:v>
                </c:pt>
                <c:pt idx="285">
                  <c:v>85.104477038937404</c:v>
                </c:pt>
                <c:pt idx="286">
                  <c:v>85.164863833562805</c:v>
                </c:pt>
                <c:pt idx="287">
                  <c:v>85.220235855330799</c:v>
                </c:pt>
                <c:pt idx="288">
                  <c:v>85.2787678078776</c:v>
                </c:pt>
                <c:pt idx="289">
                  <c:v>85.336403434054205</c:v>
                </c:pt>
                <c:pt idx="290">
                  <c:v>85.399069251315893</c:v>
                </c:pt>
                <c:pt idx="291">
                  <c:v>85.457308707388094</c:v>
                </c:pt>
                <c:pt idx="292">
                  <c:v>85.518466453998002</c:v>
                </c:pt>
                <c:pt idx="293">
                  <c:v>85.575112938454396</c:v>
                </c:pt>
                <c:pt idx="294">
                  <c:v>85.630619647972097</c:v>
                </c:pt>
                <c:pt idx="295">
                  <c:v>85.687285673880098</c:v>
                </c:pt>
                <c:pt idx="296">
                  <c:v>85.746086783907401</c:v>
                </c:pt>
                <c:pt idx="297">
                  <c:v>85.805368698140896</c:v>
                </c:pt>
                <c:pt idx="298">
                  <c:v>85.866789622554904</c:v>
                </c:pt>
                <c:pt idx="299">
                  <c:v>85.923293925616093</c:v>
                </c:pt>
                <c:pt idx="300">
                  <c:v>85.980662087890295</c:v>
                </c:pt>
                <c:pt idx="301">
                  <c:v>86.037376443969507</c:v>
                </c:pt>
                <c:pt idx="302">
                  <c:v>86.096275890697697</c:v>
                </c:pt>
                <c:pt idx="303">
                  <c:v>86.147746854364499</c:v>
                </c:pt>
                <c:pt idx="304">
                  <c:v>86.211224669272099</c:v>
                </c:pt>
                <c:pt idx="305">
                  <c:v>86.266355056193802</c:v>
                </c:pt>
                <c:pt idx="306">
                  <c:v>86.326640377621004</c:v>
                </c:pt>
                <c:pt idx="307">
                  <c:v>86.384728981926699</c:v>
                </c:pt>
                <c:pt idx="308">
                  <c:v>86.439952439701301</c:v>
                </c:pt>
                <c:pt idx="309">
                  <c:v>86.496771453540703</c:v>
                </c:pt>
                <c:pt idx="310">
                  <c:v>86.559003525773903</c:v>
                </c:pt>
                <c:pt idx="311">
                  <c:v>86.626580697094397</c:v>
                </c:pt>
                <c:pt idx="312">
                  <c:v>86.685226794167207</c:v>
                </c:pt>
                <c:pt idx="313">
                  <c:v>86.747481410286099</c:v>
                </c:pt>
                <c:pt idx="314">
                  <c:v>86.807303703012593</c:v>
                </c:pt>
                <c:pt idx="315">
                  <c:v>86.8634877694723</c:v>
                </c:pt>
                <c:pt idx="316">
                  <c:v>86.930571094067602</c:v>
                </c:pt>
                <c:pt idx="317">
                  <c:v>86.990251022652004</c:v>
                </c:pt>
                <c:pt idx="318">
                  <c:v>87.053670011468199</c:v>
                </c:pt>
                <c:pt idx="319">
                  <c:v>87.115328771079604</c:v>
                </c:pt>
                <c:pt idx="320">
                  <c:v>87.174578508262499</c:v>
                </c:pt>
                <c:pt idx="321">
                  <c:v>87.238201279147304</c:v>
                </c:pt>
                <c:pt idx="322">
                  <c:v>87.305775721121606</c:v>
                </c:pt>
                <c:pt idx="323">
                  <c:v>87.362337199594094</c:v>
                </c:pt>
                <c:pt idx="324">
                  <c:v>87.426157521730005</c:v>
                </c:pt>
                <c:pt idx="325">
                  <c:v>87.483565704298897</c:v>
                </c:pt>
                <c:pt idx="326">
                  <c:v>87.542385524842103</c:v>
                </c:pt>
                <c:pt idx="327">
                  <c:v>87.600453781897102</c:v>
                </c:pt>
                <c:pt idx="328">
                  <c:v>87.663553859758593</c:v>
                </c:pt>
                <c:pt idx="329">
                  <c:v>87.719478273540901</c:v>
                </c:pt>
                <c:pt idx="330">
                  <c:v>87.776396131010202</c:v>
                </c:pt>
                <c:pt idx="331">
                  <c:v>87.834119194704996</c:v>
                </c:pt>
                <c:pt idx="332">
                  <c:v>87.896710007138097</c:v>
                </c:pt>
                <c:pt idx="333">
                  <c:v>87.951734882507097</c:v>
                </c:pt>
                <c:pt idx="334">
                  <c:v>88.007159205146095</c:v>
                </c:pt>
                <c:pt idx="335">
                  <c:v>88.063249971514395</c:v>
                </c:pt>
                <c:pt idx="336">
                  <c:v>88.122983174245505</c:v>
                </c:pt>
                <c:pt idx="337">
                  <c:v>88.178725651180997</c:v>
                </c:pt>
                <c:pt idx="338">
                  <c:v>88.233488675847795</c:v>
                </c:pt>
                <c:pt idx="339">
                  <c:v>88.297627380408699</c:v>
                </c:pt>
                <c:pt idx="340">
                  <c:v>88.357062189474703</c:v>
                </c:pt>
                <c:pt idx="341">
                  <c:v>88.420926343014202</c:v>
                </c:pt>
                <c:pt idx="342">
                  <c:v>88.481821294356905</c:v>
                </c:pt>
                <c:pt idx="343">
                  <c:v>88.540471117499095</c:v>
                </c:pt>
                <c:pt idx="344">
                  <c:v>88.599766597641803</c:v>
                </c:pt>
                <c:pt idx="345">
                  <c:v>88.653728474566094</c:v>
                </c:pt>
                <c:pt idx="346">
                  <c:v>88.709282501938603</c:v>
                </c:pt>
                <c:pt idx="347">
                  <c:v>88.776372149006306</c:v>
                </c:pt>
                <c:pt idx="348">
                  <c:v>88.831040664573095</c:v>
                </c:pt>
                <c:pt idx="349">
                  <c:v>88.898893392746402</c:v>
                </c:pt>
                <c:pt idx="350">
                  <c:v>88.957372543268605</c:v>
                </c:pt>
                <c:pt idx="351">
                  <c:v>89.026079660157393</c:v>
                </c:pt>
                <c:pt idx="352">
                  <c:v>89.089446532471896</c:v>
                </c:pt>
                <c:pt idx="353">
                  <c:v>89.151027958535195</c:v>
                </c:pt>
                <c:pt idx="354">
                  <c:v>89.2046997915552</c:v>
                </c:pt>
                <c:pt idx="355">
                  <c:v>89.264946276046302</c:v>
                </c:pt>
                <c:pt idx="356">
                  <c:v>89.330937924983203</c:v>
                </c:pt>
                <c:pt idx="357">
                  <c:v>89.396586741511996</c:v>
                </c:pt>
                <c:pt idx="358">
                  <c:v>89.459435003709103</c:v>
                </c:pt>
                <c:pt idx="359">
                  <c:v>89.520031829907495</c:v>
                </c:pt>
                <c:pt idx="360">
                  <c:v>89.589846031369504</c:v>
                </c:pt>
                <c:pt idx="361">
                  <c:v>89.658135396564603</c:v>
                </c:pt>
                <c:pt idx="362">
                  <c:v>89.718498879150602</c:v>
                </c:pt>
                <c:pt idx="363">
                  <c:v>89.777160939767896</c:v>
                </c:pt>
                <c:pt idx="364">
                  <c:v>89.844981109503294</c:v>
                </c:pt>
                <c:pt idx="365">
                  <c:v>89.904389450919794</c:v>
                </c:pt>
                <c:pt idx="366">
                  <c:v>89.966545503646799</c:v>
                </c:pt>
                <c:pt idx="367">
                  <c:v>90.027753302994</c:v>
                </c:pt>
                <c:pt idx="368">
                  <c:v>90.089963698941006</c:v>
                </c:pt>
                <c:pt idx="369">
                  <c:v>90.157112366574793</c:v>
                </c:pt>
                <c:pt idx="370">
                  <c:v>90.218958592710194</c:v>
                </c:pt>
                <c:pt idx="371">
                  <c:v>90.284595904522007</c:v>
                </c:pt>
                <c:pt idx="372">
                  <c:v>90.342886809896399</c:v>
                </c:pt>
                <c:pt idx="373">
                  <c:v>90.410617378733903</c:v>
                </c:pt>
                <c:pt idx="374">
                  <c:v>90.468596960065199</c:v>
                </c:pt>
                <c:pt idx="375">
                  <c:v>90.537671238291196</c:v>
                </c:pt>
                <c:pt idx="376">
                  <c:v>90.609681561456895</c:v>
                </c:pt>
                <c:pt idx="377">
                  <c:v>90.673348167923507</c:v>
                </c:pt>
                <c:pt idx="378">
                  <c:v>90.735697788871704</c:v>
                </c:pt>
                <c:pt idx="379">
                  <c:v>90.797131814866006</c:v>
                </c:pt>
                <c:pt idx="380">
                  <c:v>90.860764420276098</c:v>
                </c:pt>
                <c:pt idx="381">
                  <c:v>90.921886390521905</c:v>
                </c:pt>
                <c:pt idx="382">
                  <c:v>90.986114994965106</c:v>
                </c:pt>
                <c:pt idx="383">
                  <c:v>91.047063190838799</c:v>
                </c:pt>
                <c:pt idx="384">
                  <c:v>91.112678510744104</c:v>
                </c:pt>
                <c:pt idx="385">
                  <c:v>91.180423806877101</c:v>
                </c:pt>
                <c:pt idx="386">
                  <c:v>91.242123077269</c:v>
                </c:pt>
                <c:pt idx="387">
                  <c:v>91.297170669661099</c:v>
                </c:pt>
                <c:pt idx="388">
                  <c:v>91.357151740805506</c:v>
                </c:pt>
                <c:pt idx="389">
                  <c:v>91.416203061918694</c:v>
                </c:pt>
                <c:pt idx="390">
                  <c:v>91.478880738890098</c:v>
                </c:pt>
                <c:pt idx="391">
                  <c:v>91.539735297371706</c:v>
                </c:pt>
                <c:pt idx="392">
                  <c:v>91.605766474829807</c:v>
                </c:pt>
                <c:pt idx="393">
                  <c:v>91.669264295283696</c:v>
                </c:pt>
                <c:pt idx="394">
                  <c:v>91.732313478708804</c:v>
                </c:pt>
                <c:pt idx="395">
                  <c:v>91.798087300837395</c:v>
                </c:pt>
                <c:pt idx="396">
                  <c:v>91.857167665793</c:v>
                </c:pt>
                <c:pt idx="397">
                  <c:v>91.919428564380098</c:v>
                </c:pt>
                <c:pt idx="398">
                  <c:v>91.978475213031999</c:v>
                </c:pt>
                <c:pt idx="399">
                  <c:v>92.041497728965297</c:v>
                </c:pt>
                <c:pt idx="400">
                  <c:v>92.0974877230787</c:v>
                </c:pt>
                <c:pt idx="401">
                  <c:v>92.156927032534597</c:v>
                </c:pt>
                <c:pt idx="402">
                  <c:v>92.219112198129693</c:v>
                </c:pt>
                <c:pt idx="403">
                  <c:v>92.285377239587604</c:v>
                </c:pt>
                <c:pt idx="404">
                  <c:v>92.358528870723504</c:v>
                </c:pt>
                <c:pt idx="405">
                  <c:v>92.420913820614402</c:v>
                </c:pt>
                <c:pt idx="406">
                  <c:v>92.482659368677503</c:v>
                </c:pt>
                <c:pt idx="407">
                  <c:v>92.540425347995395</c:v>
                </c:pt>
                <c:pt idx="408">
                  <c:v>92.604070087910202</c:v>
                </c:pt>
                <c:pt idx="409">
                  <c:v>92.671983082651707</c:v>
                </c:pt>
                <c:pt idx="410">
                  <c:v>92.739348600577202</c:v>
                </c:pt>
                <c:pt idx="411">
                  <c:v>92.8017398620606</c:v>
                </c:pt>
                <c:pt idx="412">
                  <c:v>92.866299139912002</c:v>
                </c:pt>
                <c:pt idx="413">
                  <c:v>92.928308771654699</c:v>
                </c:pt>
                <c:pt idx="414">
                  <c:v>92.989164420714303</c:v>
                </c:pt>
                <c:pt idx="415">
                  <c:v>93.045580481230402</c:v>
                </c:pt>
                <c:pt idx="416">
                  <c:v>93.105092298505397</c:v>
                </c:pt>
                <c:pt idx="417">
                  <c:v>93.169496728565207</c:v>
                </c:pt>
                <c:pt idx="418">
                  <c:v>93.232656386985298</c:v>
                </c:pt>
                <c:pt idx="419">
                  <c:v>93.296124817612096</c:v>
                </c:pt>
                <c:pt idx="420">
                  <c:v>93.360115000782898</c:v>
                </c:pt>
                <c:pt idx="421">
                  <c:v>93.423403541334196</c:v>
                </c:pt>
                <c:pt idx="422">
                  <c:v>93.485925598769299</c:v>
                </c:pt>
                <c:pt idx="423">
                  <c:v>93.547870937456096</c:v>
                </c:pt>
                <c:pt idx="424">
                  <c:v>93.614391871755998</c:v>
                </c:pt>
                <c:pt idx="425">
                  <c:v>93.675208226848099</c:v>
                </c:pt>
                <c:pt idx="426">
                  <c:v>93.7430952822656</c:v>
                </c:pt>
                <c:pt idx="427">
                  <c:v>93.803774354292003</c:v>
                </c:pt>
                <c:pt idx="428">
                  <c:v>93.871850228289603</c:v>
                </c:pt>
                <c:pt idx="429">
                  <c:v>93.930718095471406</c:v>
                </c:pt>
                <c:pt idx="430">
                  <c:v>93.996324902615996</c:v>
                </c:pt>
                <c:pt idx="431">
                  <c:v>94.059665789110298</c:v>
                </c:pt>
                <c:pt idx="432">
                  <c:v>94.124977243131994</c:v>
                </c:pt>
                <c:pt idx="433">
                  <c:v>94.193840771553198</c:v>
                </c:pt>
                <c:pt idx="434">
                  <c:v>94.259825046323002</c:v>
                </c:pt>
                <c:pt idx="435">
                  <c:v>94.322036392520801</c:v>
                </c:pt>
                <c:pt idx="436">
                  <c:v>94.390729788128795</c:v>
                </c:pt>
                <c:pt idx="437">
                  <c:v>94.454896129963799</c:v>
                </c:pt>
                <c:pt idx="438">
                  <c:v>94.520040648743304</c:v>
                </c:pt>
                <c:pt idx="439">
                  <c:v>94.582091271976296</c:v>
                </c:pt>
                <c:pt idx="440">
                  <c:v>94.649914327452294</c:v>
                </c:pt>
                <c:pt idx="441">
                  <c:v>94.719164975200698</c:v>
                </c:pt>
                <c:pt idx="442">
                  <c:v>94.782366006485304</c:v>
                </c:pt>
                <c:pt idx="443">
                  <c:v>94.851465448174594</c:v>
                </c:pt>
                <c:pt idx="444">
                  <c:v>94.917645845678194</c:v>
                </c:pt>
                <c:pt idx="445">
                  <c:v>94.977619407124095</c:v>
                </c:pt>
                <c:pt idx="446">
                  <c:v>95.044847767173493</c:v>
                </c:pt>
                <c:pt idx="447">
                  <c:v>95.113275283283201</c:v>
                </c:pt>
                <c:pt idx="448">
                  <c:v>95.181918533105801</c:v>
                </c:pt>
                <c:pt idx="449">
                  <c:v>95.251602469513301</c:v>
                </c:pt>
                <c:pt idx="450">
                  <c:v>95.315366991357607</c:v>
                </c:pt>
                <c:pt idx="451">
                  <c:v>95.378421885012798</c:v>
                </c:pt>
                <c:pt idx="452">
                  <c:v>95.442457010568305</c:v>
                </c:pt>
                <c:pt idx="453">
                  <c:v>95.510687802320405</c:v>
                </c:pt>
                <c:pt idx="454">
                  <c:v>95.571855158646898</c:v>
                </c:pt>
                <c:pt idx="455">
                  <c:v>95.637654729478697</c:v>
                </c:pt>
                <c:pt idx="456">
                  <c:v>95.703849173507606</c:v>
                </c:pt>
                <c:pt idx="457">
                  <c:v>95.768216260248806</c:v>
                </c:pt>
                <c:pt idx="458">
                  <c:v>95.833958584019101</c:v>
                </c:pt>
                <c:pt idx="459">
                  <c:v>95.903863945990395</c:v>
                </c:pt>
                <c:pt idx="460">
                  <c:v>95.973160509674003</c:v>
                </c:pt>
                <c:pt idx="461">
                  <c:v>96.039902730445704</c:v>
                </c:pt>
                <c:pt idx="462">
                  <c:v>96.0931551273721</c:v>
                </c:pt>
                <c:pt idx="463">
                  <c:v>96.160184612399803</c:v>
                </c:pt>
                <c:pt idx="464">
                  <c:v>96.229214113032299</c:v>
                </c:pt>
                <c:pt idx="465">
                  <c:v>96.293132057076505</c:v>
                </c:pt>
                <c:pt idx="466">
                  <c:v>96.357719665991198</c:v>
                </c:pt>
                <c:pt idx="467">
                  <c:v>96.424275704083499</c:v>
                </c:pt>
                <c:pt idx="468">
                  <c:v>96.4958850779161</c:v>
                </c:pt>
                <c:pt idx="469">
                  <c:v>96.570602721123393</c:v>
                </c:pt>
                <c:pt idx="470">
                  <c:v>96.643749071286393</c:v>
                </c:pt>
                <c:pt idx="471">
                  <c:v>96.708488353317506</c:v>
                </c:pt>
                <c:pt idx="472">
                  <c:v>96.774860547230304</c:v>
                </c:pt>
                <c:pt idx="473">
                  <c:v>96.846069724101994</c:v>
                </c:pt>
                <c:pt idx="474">
                  <c:v>96.908973777620105</c:v>
                </c:pt>
                <c:pt idx="475">
                  <c:v>96.972224260000502</c:v>
                </c:pt>
                <c:pt idx="476">
                  <c:v>97.043169531695895</c:v>
                </c:pt>
                <c:pt idx="477">
                  <c:v>97.111588878899397</c:v>
                </c:pt>
                <c:pt idx="478">
                  <c:v>97.178486505495599</c:v>
                </c:pt>
                <c:pt idx="479">
                  <c:v>97.250820667464097</c:v>
                </c:pt>
                <c:pt idx="480">
                  <c:v>97.315325176449903</c:v>
                </c:pt>
                <c:pt idx="481">
                  <c:v>97.3828047843338</c:v>
                </c:pt>
                <c:pt idx="482">
                  <c:v>97.450422155755604</c:v>
                </c:pt>
                <c:pt idx="483">
                  <c:v>97.517299252914199</c:v>
                </c:pt>
                <c:pt idx="484">
                  <c:v>97.585420518063003</c:v>
                </c:pt>
                <c:pt idx="485">
                  <c:v>97.648234013251695</c:v>
                </c:pt>
                <c:pt idx="486">
                  <c:v>97.718750795739993</c:v>
                </c:pt>
                <c:pt idx="487">
                  <c:v>97.779237703844501</c:v>
                </c:pt>
                <c:pt idx="488">
                  <c:v>97.849521391559307</c:v>
                </c:pt>
                <c:pt idx="489">
                  <c:v>97.920124329423004</c:v>
                </c:pt>
                <c:pt idx="490">
                  <c:v>97.984025308149896</c:v>
                </c:pt>
                <c:pt idx="491">
                  <c:v>98.050876323883799</c:v>
                </c:pt>
                <c:pt idx="492">
                  <c:v>98.1169344648155</c:v>
                </c:pt>
                <c:pt idx="493">
                  <c:v>98.192082404761706</c:v>
                </c:pt>
                <c:pt idx="494">
                  <c:v>98.258142184142699</c:v>
                </c:pt>
                <c:pt idx="495">
                  <c:v>98.325126787757398</c:v>
                </c:pt>
                <c:pt idx="496">
                  <c:v>98.387774726784897</c:v>
                </c:pt>
                <c:pt idx="497">
                  <c:v>98.454941827915306</c:v>
                </c:pt>
                <c:pt idx="498">
                  <c:v>98.525583366512294</c:v>
                </c:pt>
                <c:pt idx="499">
                  <c:v>98.592586104953895</c:v>
                </c:pt>
                <c:pt idx="500">
                  <c:v>98.656158528396801</c:v>
                </c:pt>
                <c:pt idx="501">
                  <c:v>98.727982955797202</c:v>
                </c:pt>
                <c:pt idx="502">
                  <c:v>98.794302719083404</c:v>
                </c:pt>
                <c:pt idx="503">
                  <c:v>98.865933876760806</c:v>
                </c:pt>
                <c:pt idx="504">
                  <c:v>98.939219283654097</c:v>
                </c:pt>
                <c:pt idx="505">
                  <c:v>99.006297200698299</c:v>
                </c:pt>
                <c:pt idx="506">
                  <c:v>99.079086795806106</c:v>
                </c:pt>
                <c:pt idx="507">
                  <c:v>99.144168148795302</c:v>
                </c:pt>
                <c:pt idx="508">
                  <c:v>99.213914354077602</c:v>
                </c:pt>
                <c:pt idx="509">
                  <c:v>99.286431322065297</c:v>
                </c:pt>
                <c:pt idx="510">
                  <c:v>99.357727387990195</c:v>
                </c:pt>
                <c:pt idx="511">
                  <c:v>99.423732419962604</c:v>
                </c:pt>
                <c:pt idx="512">
                  <c:v>99.4903620545889</c:v>
                </c:pt>
                <c:pt idx="513">
                  <c:v>99.561363230496596</c:v>
                </c:pt>
                <c:pt idx="514">
                  <c:v>99.626729131296202</c:v>
                </c:pt>
                <c:pt idx="515">
                  <c:v>99.692982365166401</c:v>
                </c:pt>
                <c:pt idx="516">
                  <c:v>99.765828987689105</c:v>
                </c:pt>
                <c:pt idx="517">
                  <c:v>99.836508971918803</c:v>
                </c:pt>
                <c:pt idx="518">
                  <c:v>99.904483422873795</c:v>
                </c:pt>
                <c:pt idx="519">
                  <c:v>99.974503765081295</c:v>
                </c:pt>
                <c:pt idx="520">
                  <c:v>100.047844925212</c:v>
                </c:pt>
                <c:pt idx="521">
                  <c:v>100.11551443842799</c:v>
                </c:pt>
                <c:pt idx="522">
                  <c:v>100.190814610985</c:v>
                </c:pt>
                <c:pt idx="523">
                  <c:v>100.258669385459</c:v>
                </c:pt>
                <c:pt idx="524">
                  <c:v>100.32773907492199</c:v>
                </c:pt>
                <c:pt idx="525">
                  <c:v>100.395308747992</c:v>
                </c:pt>
                <c:pt idx="526">
                  <c:v>100.471785273534</c:v>
                </c:pt>
                <c:pt idx="527">
                  <c:v>100.536111694917</c:v>
                </c:pt>
                <c:pt idx="528">
                  <c:v>100.603991703014</c:v>
                </c:pt>
                <c:pt idx="529">
                  <c:v>100.671770345819</c:v>
                </c:pt>
                <c:pt idx="530">
                  <c:v>100.740402838452</c:v>
                </c:pt>
                <c:pt idx="531">
                  <c:v>100.80159825386301</c:v>
                </c:pt>
                <c:pt idx="532">
                  <c:v>100.873231781139</c:v>
                </c:pt>
                <c:pt idx="533">
                  <c:v>100.93767007221599</c:v>
                </c:pt>
                <c:pt idx="534">
                  <c:v>101.00375990501</c:v>
                </c:pt>
                <c:pt idx="535">
                  <c:v>101.070460250784</c:v>
                </c:pt>
                <c:pt idx="536">
                  <c:v>101.136086683801</c:v>
                </c:pt>
                <c:pt idx="537">
                  <c:v>101.20080067743</c:v>
                </c:pt>
                <c:pt idx="538">
                  <c:v>101.26949301981701</c:v>
                </c:pt>
                <c:pt idx="539">
                  <c:v>101.336448794329</c:v>
                </c:pt>
                <c:pt idx="540">
                  <c:v>101.410423845688</c:v>
                </c:pt>
                <c:pt idx="541">
                  <c:v>101.471989383872</c:v>
                </c:pt>
                <c:pt idx="542">
                  <c:v>101.544193653336</c:v>
                </c:pt>
                <c:pt idx="543">
                  <c:v>101.618825035301</c:v>
                </c:pt>
                <c:pt idx="544">
                  <c:v>101.692754920444</c:v>
                </c:pt>
                <c:pt idx="545">
                  <c:v>101.761782631984</c:v>
                </c:pt>
                <c:pt idx="546">
                  <c:v>101.831913840232</c:v>
                </c:pt>
                <c:pt idx="547">
                  <c:v>101.90240877747701</c:v>
                </c:pt>
                <c:pt idx="548">
                  <c:v>101.975912292525</c:v>
                </c:pt>
                <c:pt idx="549">
                  <c:v>102.047332590026</c:v>
                </c:pt>
                <c:pt idx="550">
                  <c:v>102.113402138162</c:v>
                </c:pt>
                <c:pt idx="551">
                  <c:v>102.191125110565</c:v>
                </c:pt>
                <c:pt idx="552">
                  <c:v>102.260572361416</c:v>
                </c:pt>
                <c:pt idx="553">
                  <c:v>102.325185141822</c:v>
                </c:pt>
                <c:pt idx="554">
                  <c:v>102.39058440378101</c:v>
                </c:pt>
                <c:pt idx="555">
                  <c:v>102.463608239644</c:v>
                </c:pt>
                <c:pt idx="556">
                  <c:v>102.530435854571</c:v>
                </c:pt>
                <c:pt idx="557">
                  <c:v>102.602127300173</c:v>
                </c:pt>
                <c:pt idx="558">
                  <c:v>102.68166270210099</c:v>
                </c:pt>
                <c:pt idx="559">
                  <c:v>102.74170196333399</c:v>
                </c:pt>
                <c:pt idx="560">
                  <c:v>102.811263883823</c:v>
                </c:pt>
                <c:pt idx="561">
                  <c:v>102.883054345643</c:v>
                </c:pt>
                <c:pt idx="562">
                  <c:v>102.950536901913</c:v>
                </c:pt>
                <c:pt idx="563">
                  <c:v>103.01132640882901</c:v>
                </c:pt>
                <c:pt idx="564">
                  <c:v>103.07811010419999</c:v>
                </c:pt>
                <c:pt idx="565">
                  <c:v>103.145663294391</c:v>
                </c:pt>
                <c:pt idx="566">
                  <c:v>103.21554380759299</c:v>
                </c:pt>
                <c:pt idx="567">
                  <c:v>103.28434491962599</c:v>
                </c:pt>
                <c:pt idx="568">
                  <c:v>103.35142395859999</c:v>
                </c:pt>
                <c:pt idx="569">
                  <c:v>103.42502819204201</c:v>
                </c:pt>
                <c:pt idx="570">
                  <c:v>103.48643301124901</c:v>
                </c:pt>
                <c:pt idx="571">
                  <c:v>103.55933338345901</c:v>
                </c:pt>
                <c:pt idx="572">
                  <c:v>103.62825439542</c:v>
                </c:pt>
                <c:pt idx="573">
                  <c:v>103.69883330302299</c:v>
                </c:pt>
                <c:pt idx="574">
                  <c:v>103.771510721602</c:v>
                </c:pt>
                <c:pt idx="575">
                  <c:v>103.841790532795</c:v>
                </c:pt>
                <c:pt idx="576">
                  <c:v>103.911549811803</c:v>
                </c:pt>
                <c:pt idx="577">
                  <c:v>103.983504530543</c:v>
                </c:pt>
                <c:pt idx="578">
                  <c:v>104.05638622662801</c:v>
                </c:pt>
                <c:pt idx="579">
                  <c:v>104.12702805414099</c:v>
                </c:pt>
                <c:pt idx="580">
                  <c:v>104.1967345203</c:v>
                </c:pt>
                <c:pt idx="581">
                  <c:v>104.270844634013</c:v>
                </c:pt>
                <c:pt idx="582">
                  <c:v>104.334105027791</c:v>
                </c:pt>
                <c:pt idx="583">
                  <c:v>104.400351073593</c:v>
                </c:pt>
                <c:pt idx="584">
                  <c:v>104.46958605425201</c:v>
                </c:pt>
                <c:pt idx="585">
                  <c:v>104.545707654381</c:v>
                </c:pt>
                <c:pt idx="586">
                  <c:v>104.61969675893801</c:v>
                </c:pt>
                <c:pt idx="587">
                  <c:v>104.690842600228</c:v>
                </c:pt>
                <c:pt idx="588">
                  <c:v>104.770215532629</c:v>
                </c:pt>
                <c:pt idx="589">
                  <c:v>104.842822860222</c:v>
                </c:pt>
                <c:pt idx="590">
                  <c:v>104.91498353035</c:v>
                </c:pt>
                <c:pt idx="591">
                  <c:v>104.99072830146299</c:v>
                </c:pt>
                <c:pt idx="592">
                  <c:v>105.06054480106999</c:v>
                </c:pt>
                <c:pt idx="593">
                  <c:v>105.13147611359599</c:v>
                </c:pt>
                <c:pt idx="594">
                  <c:v>105.199314768422</c:v>
                </c:pt>
                <c:pt idx="595">
                  <c:v>105.275738646864</c:v>
                </c:pt>
                <c:pt idx="596">
                  <c:v>105.353726477257</c:v>
                </c:pt>
                <c:pt idx="597">
                  <c:v>105.424572147726</c:v>
                </c:pt>
                <c:pt idx="598">
                  <c:v>105.494884760603</c:v>
                </c:pt>
                <c:pt idx="599">
                  <c:v>105.568501939111</c:v>
                </c:pt>
                <c:pt idx="600">
                  <c:v>105.645369151678</c:v>
                </c:pt>
                <c:pt idx="601">
                  <c:v>105.712659142777</c:v>
                </c:pt>
                <c:pt idx="602">
                  <c:v>105.783228036715</c:v>
                </c:pt>
                <c:pt idx="603">
                  <c:v>105.858111143983</c:v>
                </c:pt>
                <c:pt idx="604">
                  <c:v>105.926053891762</c:v>
                </c:pt>
                <c:pt idx="605">
                  <c:v>105.993850912613</c:v>
                </c:pt>
                <c:pt idx="606">
                  <c:v>106.06326140776901</c:v>
                </c:pt>
                <c:pt idx="607">
                  <c:v>106.13591522226599</c:v>
                </c:pt>
                <c:pt idx="608">
                  <c:v>106.206767495189</c:v>
                </c:pt>
                <c:pt idx="609">
                  <c:v>106.27923702945201</c:v>
                </c:pt>
                <c:pt idx="610">
                  <c:v>106.35210704479699</c:v>
                </c:pt>
                <c:pt idx="611">
                  <c:v>106.423993992785</c:v>
                </c:pt>
                <c:pt idx="612">
                  <c:v>106.492305141221</c:v>
                </c:pt>
                <c:pt idx="613">
                  <c:v>106.561546601183</c:v>
                </c:pt>
                <c:pt idx="614">
                  <c:v>106.633465807283</c:v>
                </c:pt>
                <c:pt idx="615">
                  <c:v>106.70770172165599</c:v>
                </c:pt>
                <c:pt idx="616">
                  <c:v>106.773738892023</c:v>
                </c:pt>
                <c:pt idx="617">
                  <c:v>106.844610141245</c:v>
                </c:pt>
                <c:pt idx="618">
                  <c:v>106.919559235036</c:v>
                </c:pt>
                <c:pt idx="619">
                  <c:v>106.99294518385</c:v>
                </c:pt>
                <c:pt idx="620">
                  <c:v>107.065176245548</c:v>
                </c:pt>
                <c:pt idx="621">
                  <c:v>107.139278045392</c:v>
                </c:pt>
                <c:pt idx="622">
                  <c:v>107.207692627941</c:v>
                </c:pt>
                <c:pt idx="623">
                  <c:v>107.28626925697399</c:v>
                </c:pt>
                <c:pt idx="624">
                  <c:v>107.362229618749</c:v>
                </c:pt>
                <c:pt idx="625">
                  <c:v>107.437436042191</c:v>
                </c:pt>
                <c:pt idx="626">
                  <c:v>107.511274685393</c:v>
                </c:pt>
                <c:pt idx="627">
                  <c:v>107.583163077053</c:v>
                </c:pt>
                <c:pt idx="628">
                  <c:v>107.653512969612</c:v>
                </c:pt>
                <c:pt idx="629">
                  <c:v>107.72873410179101</c:v>
                </c:pt>
                <c:pt idx="630">
                  <c:v>107.801433759858</c:v>
                </c:pt>
                <c:pt idx="631">
                  <c:v>107.88306268253901</c:v>
                </c:pt>
                <c:pt idx="632">
                  <c:v>107.965429713353</c:v>
                </c:pt>
                <c:pt idx="633">
                  <c:v>108.042348694111</c:v>
                </c:pt>
                <c:pt idx="634">
                  <c:v>108.121424563213</c:v>
                </c:pt>
                <c:pt idx="635">
                  <c:v>108.197158210834</c:v>
                </c:pt>
                <c:pt idx="636">
                  <c:v>108.266363673936</c:v>
                </c:pt>
                <c:pt idx="637">
                  <c:v>108.337088316899</c:v>
                </c:pt>
                <c:pt idx="638">
                  <c:v>108.4037336543</c:v>
                </c:pt>
                <c:pt idx="639">
                  <c:v>108.47716034049201</c:v>
                </c:pt>
                <c:pt idx="640">
                  <c:v>108.546173302638</c:v>
                </c:pt>
                <c:pt idx="641">
                  <c:v>108.62428664314299</c:v>
                </c:pt>
                <c:pt idx="642">
                  <c:v>108.702310573997</c:v>
                </c:pt>
                <c:pt idx="643">
                  <c:v>108.776977710884</c:v>
                </c:pt>
                <c:pt idx="644">
                  <c:v>108.84137508521199</c:v>
                </c:pt>
                <c:pt idx="645">
                  <c:v>108.91599451304</c:v>
                </c:pt>
                <c:pt idx="646">
                  <c:v>108.99323762077699</c:v>
                </c:pt>
                <c:pt idx="647">
                  <c:v>109.074705248634</c:v>
                </c:pt>
                <c:pt idx="648">
                  <c:v>109.15697253629099</c:v>
                </c:pt>
                <c:pt idx="649">
                  <c:v>109.23445663675</c:v>
                </c:pt>
                <c:pt idx="650">
                  <c:v>109.311524636618</c:v>
                </c:pt>
                <c:pt idx="651">
                  <c:v>109.38299263035699</c:v>
                </c:pt>
                <c:pt idx="652">
                  <c:v>109.45649248432601</c:v>
                </c:pt>
                <c:pt idx="653">
                  <c:v>109.53562322537999</c:v>
                </c:pt>
                <c:pt idx="654">
                  <c:v>109.620591037868</c:v>
                </c:pt>
                <c:pt idx="655">
                  <c:v>109.690992404105</c:v>
                </c:pt>
                <c:pt idx="656">
                  <c:v>109.768060324613</c:v>
                </c:pt>
                <c:pt idx="657">
                  <c:v>109.842484544192</c:v>
                </c:pt>
                <c:pt idx="658">
                  <c:v>109.91947616490501</c:v>
                </c:pt>
                <c:pt idx="659">
                  <c:v>110.000577640987</c:v>
                </c:pt>
                <c:pt idx="660">
                  <c:v>110.072406239773</c:v>
                </c:pt>
                <c:pt idx="661">
                  <c:v>110.147327558531</c:v>
                </c:pt>
                <c:pt idx="662">
                  <c:v>110.218447461724</c:v>
                </c:pt>
                <c:pt idx="663">
                  <c:v>110.29716841632199</c:v>
                </c:pt>
                <c:pt idx="664">
                  <c:v>110.379286609128</c:v>
                </c:pt>
                <c:pt idx="665">
                  <c:v>110.45528456091699</c:v>
                </c:pt>
                <c:pt idx="666">
                  <c:v>110.530781251916</c:v>
                </c:pt>
                <c:pt idx="667">
                  <c:v>110.608009701155</c:v>
                </c:pt>
                <c:pt idx="668">
                  <c:v>110.691234088012</c:v>
                </c:pt>
                <c:pt idx="669">
                  <c:v>110.77118566118401</c:v>
                </c:pt>
                <c:pt idx="670">
                  <c:v>110.845532966541</c:v>
                </c:pt>
                <c:pt idx="671">
                  <c:v>110.918720612751</c:v>
                </c:pt>
                <c:pt idx="672">
                  <c:v>110.991320409427</c:v>
                </c:pt>
                <c:pt idx="673">
                  <c:v>111.072051832133</c:v>
                </c:pt>
                <c:pt idx="674">
                  <c:v>111.148891922356</c:v>
                </c:pt>
                <c:pt idx="675">
                  <c:v>111.228417208148</c:v>
                </c:pt>
                <c:pt idx="676">
                  <c:v>111.305050418023</c:v>
                </c:pt>
                <c:pt idx="677">
                  <c:v>111.385739605456</c:v>
                </c:pt>
                <c:pt idx="678">
                  <c:v>111.46059759591699</c:v>
                </c:pt>
                <c:pt idx="679">
                  <c:v>111.540880394688</c:v>
                </c:pt>
                <c:pt idx="680">
                  <c:v>111.61659146917</c:v>
                </c:pt>
                <c:pt idx="681">
                  <c:v>111.68918784365</c:v>
                </c:pt>
                <c:pt idx="682">
                  <c:v>111.765911239435</c:v>
                </c:pt>
                <c:pt idx="683">
                  <c:v>111.84580602579</c:v>
                </c:pt>
                <c:pt idx="684">
                  <c:v>111.924372497747</c:v>
                </c:pt>
                <c:pt idx="685">
                  <c:v>111.999551667316</c:v>
                </c:pt>
                <c:pt idx="686">
                  <c:v>112.07664859665</c:v>
                </c:pt>
                <c:pt idx="687">
                  <c:v>112.16056505837101</c:v>
                </c:pt>
                <c:pt idx="688">
                  <c:v>112.236549260044</c:v>
                </c:pt>
                <c:pt idx="689">
                  <c:v>112.308574144787</c:v>
                </c:pt>
                <c:pt idx="690">
                  <c:v>112.38608990216299</c:v>
                </c:pt>
                <c:pt idx="691">
                  <c:v>112.45997312991</c:v>
                </c:pt>
                <c:pt idx="692">
                  <c:v>112.547361836514</c:v>
                </c:pt>
                <c:pt idx="693">
                  <c:v>112.629249001446</c:v>
                </c:pt>
                <c:pt idx="694">
                  <c:v>112.710894112185</c:v>
                </c:pt>
                <c:pt idx="695">
                  <c:v>112.78411970268201</c:v>
                </c:pt>
                <c:pt idx="696">
                  <c:v>112.86717210668</c:v>
                </c:pt>
                <c:pt idx="697">
                  <c:v>112.93706380526299</c:v>
                </c:pt>
                <c:pt idx="698">
                  <c:v>113.01288206138</c:v>
                </c:pt>
                <c:pt idx="699">
                  <c:v>113.082683653554</c:v>
                </c:pt>
                <c:pt idx="700">
                  <c:v>113.15506610779801</c:v>
                </c:pt>
                <c:pt idx="701">
                  <c:v>113.23644848508999</c:v>
                </c:pt>
                <c:pt idx="702">
                  <c:v>113.312731170693</c:v>
                </c:pt>
                <c:pt idx="703">
                  <c:v>113.382878091384</c:v>
                </c:pt>
                <c:pt idx="704">
                  <c:v>113.460194732932</c:v>
                </c:pt>
                <c:pt idx="705">
                  <c:v>113.537797630095</c:v>
                </c:pt>
                <c:pt idx="706">
                  <c:v>113.615458385491</c:v>
                </c:pt>
                <c:pt idx="707">
                  <c:v>113.682832606587</c:v>
                </c:pt>
                <c:pt idx="708">
                  <c:v>113.762530085048</c:v>
                </c:pt>
                <c:pt idx="709">
                  <c:v>113.836055861456</c:v>
                </c:pt>
                <c:pt idx="710">
                  <c:v>113.917915533499</c:v>
                </c:pt>
                <c:pt idx="711">
                  <c:v>113.992059689966</c:v>
                </c:pt>
                <c:pt idx="712">
                  <c:v>114.071288601003</c:v>
                </c:pt>
                <c:pt idx="713">
                  <c:v>114.14804119269</c:v>
                </c:pt>
                <c:pt idx="714">
                  <c:v>114.225971795692</c:v>
                </c:pt>
                <c:pt idx="715">
                  <c:v>114.307384008574</c:v>
                </c:pt>
                <c:pt idx="716">
                  <c:v>114.385107870384</c:v>
                </c:pt>
                <c:pt idx="717">
                  <c:v>114.475810532029</c:v>
                </c:pt>
                <c:pt idx="718">
                  <c:v>114.559984502666</c:v>
                </c:pt>
                <c:pt idx="719">
                  <c:v>114.64251263115401</c:v>
                </c:pt>
                <c:pt idx="720">
                  <c:v>114.722293776706</c:v>
                </c:pt>
                <c:pt idx="721">
                  <c:v>114.795624023728</c:v>
                </c:pt>
                <c:pt idx="722">
                  <c:v>114.87198278427999</c:v>
                </c:pt>
                <c:pt idx="723">
                  <c:v>114.95600641918099</c:v>
                </c:pt>
                <c:pt idx="724">
                  <c:v>115.036389336539</c:v>
                </c:pt>
                <c:pt idx="725">
                  <c:v>115.12451676253799</c:v>
                </c:pt>
                <c:pt idx="726">
                  <c:v>115.206590216821</c:v>
                </c:pt>
                <c:pt idx="727">
                  <c:v>115.288276450788</c:v>
                </c:pt>
                <c:pt idx="728">
                  <c:v>115.36816768782499</c:v>
                </c:pt>
                <c:pt idx="729">
                  <c:v>115.44567973831001</c:v>
                </c:pt>
                <c:pt idx="730">
                  <c:v>115.521262432158</c:v>
                </c:pt>
                <c:pt idx="731">
                  <c:v>115.600695712777</c:v>
                </c:pt>
                <c:pt idx="732">
                  <c:v>115.679921353201</c:v>
                </c:pt>
                <c:pt idx="733">
                  <c:v>115.758434879639</c:v>
                </c:pt>
                <c:pt idx="734">
                  <c:v>115.84314656490901</c:v>
                </c:pt>
                <c:pt idx="735">
                  <c:v>115.920464713462</c:v>
                </c:pt>
                <c:pt idx="736">
                  <c:v>115.997284172295</c:v>
                </c:pt>
                <c:pt idx="737">
                  <c:v>116.071797815225</c:v>
                </c:pt>
                <c:pt idx="738">
                  <c:v>116.151869866147</c:v>
                </c:pt>
                <c:pt idx="739">
                  <c:v>116.227954452929</c:v>
                </c:pt>
                <c:pt idx="740">
                  <c:v>116.31191143145099</c:v>
                </c:pt>
                <c:pt idx="741">
                  <c:v>116.39393551063699</c:v>
                </c:pt>
                <c:pt idx="742">
                  <c:v>116.47011867937699</c:v>
                </c:pt>
                <c:pt idx="743">
                  <c:v>116.543219707671</c:v>
                </c:pt>
                <c:pt idx="744">
                  <c:v>116.61931839866899</c:v>
                </c:pt>
                <c:pt idx="745">
                  <c:v>116.703888471113</c:v>
                </c:pt>
                <c:pt idx="746">
                  <c:v>116.781038876834</c:v>
                </c:pt>
                <c:pt idx="747">
                  <c:v>116.870225613717</c:v>
                </c:pt>
                <c:pt idx="748">
                  <c:v>116.949682677418</c:v>
                </c:pt>
                <c:pt idx="749">
                  <c:v>117.03773339519201</c:v>
                </c:pt>
                <c:pt idx="750">
                  <c:v>117.11555109056501</c:v>
                </c:pt>
                <c:pt idx="751">
                  <c:v>117.190260719951</c:v>
                </c:pt>
                <c:pt idx="752">
                  <c:v>117.27081291860399</c:v>
                </c:pt>
                <c:pt idx="753">
                  <c:v>117.34799872808399</c:v>
                </c:pt>
                <c:pt idx="754">
                  <c:v>117.420989478561</c:v>
                </c:pt>
                <c:pt idx="755">
                  <c:v>117.50006120609901</c:v>
                </c:pt>
                <c:pt idx="756">
                  <c:v>117.578582818176</c:v>
                </c:pt>
                <c:pt idx="757">
                  <c:v>117.666821743189</c:v>
                </c:pt>
                <c:pt idx="758">
                  <c:v>117.74439033220401</c:v>
                </c:pt>
                <c:pt idx="759">
                  <c:v>117.83039562904</c:v>
                </c:pt>
                <c:pt idx="760">
                  <c:v>117.90647367897699</c:v>
                </c:pt>
                <c:pt idx="761">
                  <c:v>117.992790066029</c:v>
                </c:pt>
                <c:pt idx="762">
                  <c:v>118.07991127704101</c:v>
                </c:pt>
                <c:pt idx="763">
                  <c:v>118.16521806658599</c:v>
                </c:pt>
                <c:pt idx="764">
                  <c:v>118.25181255311099</c:v>
                </c:pt>
                <c:pt idx="765">
                  <c:v>118.315534411455</c:v>
                </c:pt>
                <c:pt idx="766">
                  <c:v>118.400626791216</c:v>
                </c:pt>
                <c:pt idx="767">
                  <c:v>118.483155234965</c:v>
                </c:pt>
                <c:pt idx="768">
                  <c:v>118.567193457139</c:v>
                </c:pt>
                <c:pt idx="769">
                  <c:v>118.642350516121</c:v>
                </c:pt>
                <c:pt idx="770">
                  <c:v>118.72038782169901</c:v>
                </c:pt>
                <c:pt idx="771">
                  <c:v>118.80505129381299</c:v>
                </c:pt>
                <c:pt idx="772">
                  <c:v>118.882669936642</c:v>
                </c:pt>
                <c:pt idx="773">
                  <c:v>118.96168527272999</c:v>
                </c:pt>
                <c:pt idx="774">
                  <c:v>119.03655465560099</c:v>
                </c:pt>
                <c:pt idx="775">
                  <c:v>119.10760593320499</c:v>
                </c:pt>
                <c:pt idx="776">
                  <c:v>119.199239736699</c:v>
                </c:pt>
                <c:pt idx="777">
                  <c:v>119.276315746522</c:v>
                </c:pt>
                <c:pt idx="778">
                  <c:v>119.36264364591899</c:v>
                </c:pt>
                <c:pt idx="779">
                  <c:v>119.443127991487</c:v>
                </c:pt>
                <c:pt idx="780">
                  <c:v>119.52024059643701</c:v>
                </c:pt>
                <c:pt idx="781">
                  <c:v>119.60266960668</c:v>
                </c:pt>
                <c:pt idx="782">
                  <c:v>119.69566802736399</c:v>
                </c:pt>
                <c:pt idx="783">
                  <c:v>119.77782746099599</c:v>
                </c:pt>
                <c:pt idx="784">
                  <c:v>119.85919665407501</c:v>
                </c:pt>
                <c:pt idx="785">
                  <c:v>119.93846198027499</c:v>
                </c:pt>
                <c:pt idx="786">
                  <c:v>120.02676427966701</c:v>
                </c:pt>
                <c:pt idx="787">
                  <c:v>120.10963992982001</c:v>
                </c:pt>
                <c:pt idx="788">
                  <c:v>120.196719442258</c:v>
                </c:pt>
                <c:pt idx="789">
                  <c:v>120.288719142985</c:v>
                </c:pt>
                <c:pt idx="790">
                  <c:v>120.367075038815</c:v>
                </c:pt>
                <c:pt idx="791">
                  <c:v>120.453382592411</c:v>
                </c:pt>
                <c:pt idx="792">
                  <c:v>120.536324055123</c:v>
                </c:pt>
                <c:pt idx="793">
                  <c:v>120.624814868347</c:v>
                </c:pt>
                <c:pt idx="794">
                  <c:v>120.703946554038</c:v>
                </c:pt>
                <c:pt idx="795">
                  <c:v>120.78128454959599</c:v>
                </c:pt>
                <c:pt idx="796">
                  <c:v>120.86206293526099</c:v>
                </c:pt>
                <c:pt idx="797">
                  <c:v>120.94776623870899</c:v>
                </c:pt>
                <c:pt idx="798">
                  <c:v>121.033906044364</c:v>
                </c:pt>
                <c:pt idx="799">
                  <c:v>121.107945385741</c:v>
                </c:pt>
                <c:pt idx="800">
                  <c:v>121.19150121094199</c:v>
                </c:pt>
                <c:pt idx="801">
                  <c:v>121.27787216238001</c:v>
                </c:pt>
                <c:pt idx="802">
                  <c:v>121.36233500553</c:v>
                </c:pt>
                <c:pt idx="803">
                  <c:v>121.445891293922</c:v>
                </c:pt>
                <c:pt idx="804">
                  <c:v>121.53134006435801</c:v>
                </c:pt>
                <c:pt idx="805">
                  <c:v>121.61147684761301</c:v>
                </c:pt>
                <c:pt idx="806">
                  <c:v>121.694484505017</c:v>
                </c:pt>
                <c:pt idx="807">
                  <c:v>121.778672200716</c:v>
                </c:pt>
                <c:pt idx="808">
                  <c:v>121.870169756927</c:v>
                </c:pt>
                <c:pt idx="809">
                  <c:v>121.959809487909</c:v>
                </c:pt>
                <c:pt idx="810">
                  <c:v>122.04436501263601</c:v>
                </c:pt>
                <c:pt idx="811">
                  <c:v>122.127264122474</c:v>
                </c:pt>
                <c:pt idx="812">
                  <c:v>122.21127931122101</c:v>
                </c:pt>
                <c:pt idx="813">
                  <c:v>122.295576801238</c:v>
                </c:pt>
                <c:pt idx="814">
                  <c:v>122.380907053478</c:v>
                </c:pt>
                <c:pt idx="815">
                  <c:v>122.45321952302599</c:v>
                </c:pt>
                <c:pt idx="816">
                  <c:v>122.539524787205</c:v>
                </c:pt>
                <c:pt idx="817">
                  <c:v>122.618850870001</c:v>
                </c:pt>
                <c:pt idx="818">
                  <c:v>122.709261301127</c:v>
                </c:pt>
                <c:pt idx="819">
                  <c:v>122.79611179724699</c:v>
                </c:pt>
                <c:pt idx="820">
                  <c:v>122.875662271561</c:v>
                </c:pt>
                <c:pt idx="821">
                  <c:v>122.949932497924</c:v>
                </c:pt>
                <c:pt idx="822">
                  <c:v>123.02163078311</c:v>
                </c:pt>
                <c:pt idx="823">
                  <c:v>123.10810385733799</c:v>
                </c:pt>
                <c:pt idx="824">
                  <c:v>123.19018045807999</c:v>
                </c:pt>
                <c:pt idx="825">
                  <c:v>123.278698838395</c:v>
                </c:pt>
                <c:pt idx="826">
                  <c:v>123.358147464178</c:v>
                </c:pt>
                <c:pt idx="827">
                  <c:v>123.443842038086</c:v>
                </c:pt>
                <c:pt idx="828">
                  <c:v>123.517368143613</c:v>
                </c:pt>
                <c:pt idx="829">
                  <c:v>123.607681357904</c:v>
                </c:pt>
                <c:pt idx="830">
                  <c:v>123.691455692332</c:v>
                </c:pt>
                <c:pt idx="831">
                  <c:v>123.773679015309</c:v>
                </c:pt>
                <c:pt idx="832">
                  <c:v>123.860834851243</c:v>
                </c:pt>
                <c:pt idx="833">
                  <c:v>123.94594205141</c:v>
                </c:pt>
                <c:pt idx="834">
                  <c:v>124.025352269736</c:v>
                </c:pt>
                <c:pt idx="835">
                  <c:v>124.114244511637</c:v>
                </c:pt>
                <c:pt idx="836">
                  <c:v>124.19483254907099</c:v>
                </c:pt>
                <c:pt idx="837">
                  <c:v>124.276440712981</c:v>
                </c:pt>
                <c:pt idx="838">
                  <c:v>124.364968942963</c:v>
                </c:pt>
                <c:pt idx="839">
                  <c:v>124.450234292395</c:v>
                </c:pt>
                <c:pt idx="840">
                  <c:v>124.52507201255</c:v>
                </c:pt>
                <c:pt idx="841">
                  <c:v>124.61571725715901</c:v>
                </c:pt>
                <c:pt idx="842">
                  <c:v>124.69732876595199</c:v>
                </c:pt>
                <c:pt idx="843">
                  <c:v>124.781975802331</c:v>
                </c:pt>
                <c:pt idx="844">
                  <c:v>124.86231636321899</c:v>
                </c:pt>
                <c:pt idx="845">
                  <c:v>124.946108128796</c:v>
                </c:pt>
                <c:pt idx="846">
                  <c:v>125.033119716603</c:v>
                </c:pt>
                <c:pt idx="847">
                  <c:v>125.11526247296599</c:v>
                </c:pt>
                <c:pt idx="848">
                  <c:v>125.202769020494</c:v>
                </c:pt>
                <c:pt idx="849">
                  <c:v>125.286636411606</c:v>
                </c:pt>
                <c:pt idx="850">
                  <c:v>125.370178805799</c:v>
                </c:pt>
                <c:pt idx="851">
                  <c:v>125.451974587799</c:v>
                </c:pt>
                <c:pt idx="852">
                  <c:v>125.538814759641</c:v>
                </c:pt>
                <c:pt idx="853">
                  <c:v>125.62577434392399</c:v>
                </c:pt>
                <c:pt idx="854">
                  <c:v>125.70900176037399</c:v>
                </c:pt>
                <c:pt idx="855">
                  <c:v>125.799407408443</c:v>
                </c:pt>
                <c:pt idx="856">
                  <c:v>125.884631027683</c:v>
                </c:pt>
                <c:pt idx="857">
                  <c:v>125.97046344472299</c:v>
                </c:pt>
                <c:pt idx="858">
                  <c:v>126.056570023744</c:v>
                </c:pt>
                <c:pt idx="859">
                  <c:v>126.139285962779</c:v>
                </c:pt>
                <c:pt idx="860">
                  <c:v>126.223622776642</c:v>
                </c:pt>
                <c:pt idx="861">
                  <c:v>126.310150862013</c:v>
                </c:pt>
                <c:pt idx="862">
                  <c:v>126.40109356454001</c:v>
                </c:pt>
                <c:pt idx="863">
                  <c:v>126.491671628742</c:v>
                </c:pt>
                <c:pt idx="864">
                  <c:v>126.579398611169</c:v>
                </c:pt>
                <c:pt idx="865">
                  <c:v>126.66179684497099</c:v>
                </c:pt>
                <c:pt idx="866">
                  <c:v>126.746047312451</c:v>
                </c:pt>
                <c:pt idx="867">
                  <c:v>126.83801220235399</c:v>
                </c:pt>
                <c:pt idx="868">
                  <c:v>126.922302718259</c:v>
                </c:pt>
                <c:pt idx="869">
                  <c:v>127.012616231336</c:v>
                </c:pt>
                <c:pt idx="870">
                  <c:v>127.093708103924</c:v>
                </c:pt>
                <c:pt idx="871">
                  <c:v>127.17917315843199</c:v>
                </c:pt>
                <c:pt idx="872">
                  <c:v>127.26536557083899</c:v>
                </c:pt>
                <c:pt idx="873">
                  <c:v>127.351739038377</c:v>
                </c:pt>
                <c:pt idx="874">
                  <c:v>127.445587256339</c:v>
                </c:pt>
                <c:pt idx="875">
                  <c:v>127.53652719471999</c:v>
                </c:pt>
                <c:pt idx="876">
                  <c:v>127.624104845755</c:v>
                </c:pt>
                <c:pt idx="877">
                  <c:v>127.717510527104</c:v>
                </c:pt>
                <c:pt idx="878">
                  <c:v>127.81308560461</c:v>
                </c:pt>
                <c:pt idx="879">
                  <c:v>127.91145880245701</c:v>
                </c:pt>
                <c:pt idx="880">
                  <c:v>128.00332512695999</c:v>
                </c:pt>
                <c:pt idx="881">
                  <c:v>128.088828190985</c:v>
                </c:pt>
                <c:pt idx="882">
                  <c:v>128.18082521935301</c:v>
                </c:pt>
                <c:pt idx="883">
                  <c:v>128.27789802416299</c:v>
                </c:pt>
                <c:pt idx="884">
                  <c:v>128.366360996081</c:v>
                </c:pt>
                <c:pt idx="885">
                  <c:v>128.45197619757499</c:v>
                </c:pt>
                <c:pt idx="886">
                  <c:v>128.549110759472</c:v>
                </c:pt>
                <c:pt idx="887">
                  <c:v>128.648646424746</c:v>
                </c:pt>
                <c:pt idx="888">
                  <c:v>128.738130336257</c:v>
                </c:pt>
                <c:pt idx="889">
                  <c:v>128.82369293047799</c:v>
                </c:pt>
                <c:pt idx="890">
                  <c:v>128.900118125875</c:v>
                </c:pt>
                <c:pt idx="891">
                  <c:v>128.98652109300801</c:v>
                </c:pt>
                <c:pt idx="892">
                  <c:v>129.086496415802</c:v>
                </c:pt>
                <c:pt idx="893">
                  <c:v>129.17752100735899</c:v>
                </c:pt>
                <c:pt idx="894">
                  <c:v>129.26432106143099</c:v>
                </c:pt>
                <c:pt idx="895">
                  <c:v>129.34567259132999</c:v>
                </c:pt>
                <c:pt idx="896">
                  <c:v>129.432857121768</c:v>
                </c:pt>
                <c:pt idx="897">
                  <c:v>129.516332918985</c:v>
                </c:pt>
                <c:pt idx="898">
                  <c:v>129.61637627107999</c:v>
                </c:pt>
                <c:pt idx="899">
                  <c:v>129.710621284659</c:v>
                </c:pt>
                <c:pt idx="900">
                  <c:v>129.80367264051301</c:v>
                </c:pt>
                <c:pt idx="901">
                  <c:v>129.88822260054499</c:v>
                </c:pt>
                <c:pt idx="902">
                  <c:v>129.98237850470099</c:v>
                </c:pt>
                <c:pt idx="903">
                  <c:v>130.06313361196399</c:v>
                </c:pt>
                <c:pt idx="904">
                  <c:v>130.147376122156</c:v>
                </c:pt>
                <c:pt idx="905">
                  <c:v>130.24052157267101</c:v>
                </c:pt>
                <c:pt idx="906">
                  <c:v>130.332356262606</c:v>
                </c:pt>
                <c:pt idx="907">
                  <c:v>130.413168998489</c:v>
                </c:pt>
                <c:pt idx="908">
                  <c:v>130.50021648511901</c:v>
                </c:pt>
                <c:pt idx="909">
                  <c:v>130.591031619543</c:v>
                </c:pt>
                <c:pt idx="910">
                  <c:v>130.67812258169201</c:v>
                </c:pt>
                <c:pt idx="911">
                  <c:v>130.76726292449999</c:v>
                </c:pt>
                <c:pt idx="912">
                  <c:v>130.86158682612901</c:v>
                </c:pt>
                <c:pt idx="913">
                  <c:v>130.95505719075501</c:v>
                </c:pt>
                <c:pt idx="914">
                  <c:v>131.04077563783</c:v>
                </c:pt>
                <c:pt idx="915">
                  <c:v>131.12972900147301</c:v>
                </c:pt>
                <c:pt idx="916">
                  <c:v>131.219436679431</c:v>
                </c:pt>
                <c:pt idx="917">
                  <c:v>131.30966852292599</c:v>
                </c:pt>
                <c:pt idx="918">
                  <c:v>131.40462800698299</c:v>
                </c:pt>
                <c:pt idx="919">
                  <c:v>131.49711111658601</c:v>
                </c:pt>
                <c:pt idx="920">
                  <c:v>131.58604135656401</c:v>
                </c:pt>
                <c:pt idx="921">
                  <c:v>131.671492607022</c:v>
                </c:pt>
                <c:pt idx="922">
                  <c:v>131.76341139694799</c:v>
                </c:pt>
                <c:pt idx="923">
                  <c:v>131.84451985320001</c:v>
                </c:pt>
                <c:pt idx="924">
                  <c:v>131.94045122011201</c:v>
                </c:pt>
                <c:pt idx="925">
                  <c:v>132.04119625332001</c:v>
                </c:pt>
                <c:pt idx="926">
                  <c:v>132.13823967130099</c:v>
                </c:pt>
                <c:pt idx="927">
                  <c:v>132.222122195098</c:v>
                </c:pt>
                <c:pt idx="928">
                  <c:v>132.311762525527</c:v>
                </c:pt>
                <c:pt idx="929">
                  <c:v>132.399769111956</c:v>
                </c:pt>
                <c:pt idx="930">
                  <c:v>132.49071765677999</c:v>
                </c:pt>
                <c:pt idx="931">
                  <c:v>132.582422073142</c:v>
                </c:pt>
                <c:pt idx="932">
                  <c:v>132.676177521581</c:v>
                </c:pt>
                <c:pt idx="933">
                  <c:v>132.77611056581199</c:v>
                </c:pt>
                <c:pt idx="934">
                  <c:v>132.87556159258301</c:v>
                </c:pt>
                <c:pt idx="935">
                  <c:v>132.96610210874999</c:v>
                </c:pt>
                <c:pt idx="936">
                  <c:v>133.06110270250801</c:v>
                </c:pt>
                <c:pt idx="937">
                  <c:v>133.161463888474</c:v>
                </c:pt>
                <c:pt idx="938">
                  <c:v>133.260974139571</c:v>
                </c:pt>
                <c:pt idx="939">
                  <c:v>133.34326650479301</c:v>
                </c:pt>
                <c:pt idx="940">
                  <c:v>133.43267837827</c:v>
                </c:pt>
                <c:pt idx="941">
                  <c:v>133.52531072967801</c:v>
                </c:pt>
                <c:pt idx="942">
                  <c:v>133.625455660292</c:v>
                </c:pt>
                <c:pt idx="943">
                  <c:v>133.711875888501</c:v>
                </c:pt>
                <c:pt idx="944">
                  <c:v>133.803435543094</c:v>
                </c:pt>
                <c:pt idx="945">
                  <c:v>133.88517385411501</c:v>
                </c:pt>
                <c:pt idx="946">
                  <c:v>133.98892870650101</c:v>
                </c:pt>
                <c:pt idx="947">
                  <c:v>134.088576480374</c:v>
                </c:pt>
                <c:pt idx="948">
                  <c:v>134.17683407164</c:v>
                </c:pt>
                <c:pt idx="949">
                  <c:v>134.26295388280201</c:v>
                </c:pt>
                <c:pt idx="950">
                  <c:v>134.35969119839001</c:v>
                </c:pt>
                <c:pt idx="951">
                  <c:v>134.45388445030599</c:v>
                </c:pt>
                <c:pt idx="952">
                  <c:v>134.55574193157099</c:v>
                </c:pt>
                <c:pt idx="953">
                  <c:v>134.64481245134201</c:v>
                </c:pt>
                <c:pt idx="954">
                  <c:v>134.74129293808201</c:v>
                </c:pt>
                <c:pt idx="955">
                  <c:v>134.834990369796</c:v>
                </c:pt>
                <c:pt idx="956">
                  <c:v>134.937028375262</c:v>
                </c:pt>
                <c:pt idx="957">
                  <c:v>135.02462976299299</c:v>
                </c:pt>
                <c:pt idx="958">
                  <c:v>135.11523372664701</c:v>
                </c:pt>
                <c:pt idx="959">
                  <c:v>135.20604969373801</c:v>
                </c:pt>
                <c:pt idx="960">
                  <c:v>135.29994578540001</c:v>
                </c:pt>
                <c:pt idx="961">
                  <c:v>135.39252600318099</c:v>
                </c:pt>
                <c:pt idx="962">
                  <c:v>135.47923446236101</c:v>
                </c:pt>
                <c:pt idx="963">
                  <c:v>135.57371111117001</c:v>
                </c:pt>
                <c:pt idx="964">
                  <c:v>135.66405627169499</c:v>
                </c:pt>
                <c:pt idx="965">
                  <c:v>135.76460901971501</c:v>
                </c:pt>
                <c:pt idx="966">
                  <c:v>135.85099243290099</c:v>
                </c:pt>
                <c:pt idx="967">
                  <c:v>135.950687474294</c:v>
                </c:pt>
                <c:pt idx="968">
                  <c:v>136.04326634593599</c:v>
                </c:pt>
                <c:pt idx="969">
                  <c:v>136.13755240691901</c:v>
                </c:pt>
                <c:pt idx="970">
                  <c:v>136.23208045025299</c:v>
                </c:pt>
                <c:pt idx="971">
                  <c:v>136.332561919201</c:v>
                </c:pt>
                <c:pt idx="972">
                  <c:v>136.42718709710999</c:v>
                </c:pt>
                <c:pt idx="973">
                  <c:v>136.52518601557699</c:v>
                </c:pt>
                <c:pt idx="974">
                  <c:v>136.62288974919099</c:v>
                </c:pt>
                <c:pt idx="975">
                  <c:v>136.72186135581001</c:v>
                </c:pt>
                <c:pt idx="976">
                  <c:v>136.813036185312</c:v>
                </c:pt>
                <c:pt idx="977">
                  <c:v>136.914538807046</c:v>
                </c:pt>
                <c:pt idx="978">
                  <c:v>137.01109153284199</c:v>
                </c:pt>
                <c:pt idx="979">
                  <c:v>137.10111310285899</c:v>
                </c:pt>
                <c:pt idx="980">
                  <c:v>137.201881093037</c:v>
                </c:pt>
                <c:pt idx="981">
                  <c:v>137.29846075407701</c:v>
                </c:pt>
                <c:pt idx="982">
                  <c:v>137.395855523666</c:v>
                </c:pt>
                <c:pt idx="983">
                  <c:v>137.496655505821</c:v>
                </c:pt>
                <c:pt idx="984">
                  <c:v>137.58288463052901</c:v>
                </c:pt>
                <c:pt idx="985">
                  <c:v>137.67943151726399</c:v>
                </c:pt>
                <c:pt idx="986">
                  <c:v>137.77990135125299</c:v>
                </c:pt>
                <c:pt idx="987">
                  <c:v>137.879167790059</c:v>
                </c:pt>
                <c:pt idx="988">
                  <c:v>137.975464586654</c:v>
                </c:pt>
                <c:pt idx="989">
                  <c:v>138.07699736041701</c:v>
                </c:pt>
                <c:pt idx="990">
                  <c:v>138.166067001475</c:v>
                </c:pt>
                <c:pt idx="991">
                  <c:v>138.25832910003899</c:v>
                </c:pt>
                <c:pt idx="992">
                  <c:v>138.349779169746</c:v>
                </c:pt>
                <c:pt idx="993">
                  <c:v>138.45407048975201</c:v>
                </c:pt>
                <c:pt idx="994">
                  <c:v>138.55105514585699</c:v>
                </c:pt>
                <c:pt idx="995">
                  <c:v>138.64396892651399</c:v>
                </c:pt>
                <c:pt idx="996">
                  <c:v>138.74174832438399</c:v>
                </c:pt>
                <c:pt idx="997">
                  <c:v>138.827999768132</c:v>
                </c:pt>
                <c:pt idx="998">
                  <c:v>138.933279065227</c:v>
                </c:pt>
                <c:pt idx="999">
                  <c:v>139.031768657947</c:v>
                </c:pt>
                <c:pt idx="1000">
                  <c:v>139.13846516807499</c:v>
                </c:pt>
                <c:pt idx="1001">
                  <c:v>139.22876098960501</c:v>
                </c:pt>
                <c:pt idx="1002">
                  <c:v>139.328270874049</c:v>
                </c:pt>
                <c:pt idx="1003">
                  <c:v>139.42381380445499</c:v>
                </c:pt>
                <c:pt idx="1004">
                  <c:v>139.524119106526</c:v>
                </c:pt>
                <c:pt idx="1005">
                  <c:v>139.62359418298601</c:v>
                </c:pt>
                <c:pt idx="1006">
                  <c:v>139.71874605093601</c:v>
                </c:pt>
                <c:pt idx="1007">
                  <c:v>139.823594450195</c:v>
                </c:pt>
                <c:pt idx="1008">
                  <c:v>139.91311934915299</c:v>
                </c:pt>
                <c:pt idx="1009">
                  <c:v>140.006180463688</c:v>
                </c:pt>
                <c:pt idx="1010">
                  <c:v>140.10833262945999</c:v>
                </c:pt>
                <c:pt idx="1011">
                  <c:v>140.20406064228999</c:v>
                </c:pt>
                <c:pt idx="1012">
                  <c:v>140.29532852243199</c:v>
                </c:pt>
                <c:pt idx="1013">
                  <c:v>140.39514456006199</c:v>
                </c:pt>
                <c:pt idx="1014">
                  <c:v>140.49960149702201</c:v>
                </c:pt>
                <c:pt idx="1015">
                  <c:v>140.59878138198701</c:v>
                </c:pt>
                <c:pt idx="1016">
                  <c:v>140.70480708840799</c:v>
                </c:pt>
                <c:pt idx="1017">
                  <c:v>140.802025153199</c:v>
                </c:pt>
                <c:pt idx="1018">
                  <c:v>140.89386762313299</c:v>
                </c:pt>
                <c:pt idx="1019">
                  <c:v>140.99035274539</c:v>
                </c:pt>
                <c:pt idx="1020">
                  <c:v>141.09150184786901</c:v>
                </c:pt>
                <c:pt idx="1021">
                  <c:v>141.18797587135401</c:v>
                </c:pt>
                <c:pt idx="1022">
                  <c:v>141.28973654631599</c:v>
                </c:pt>
                <c:pt idx="1023">
                  <c:v>141.38759499058801</c:v>
                </c:pt>
                <c:pt idx="1024">
                  <c:v>141.47848448286101</c:v>
                </c:pt>
                <c:pt idx="1025">
                  <c:v>141.57115892217601</c:v>
                </c:pt>
                <c:pt idx="1026">
                  <c:v>141.669202258251</c:v>
                </c:pt>
                <c:pt idx="1027">
                  <c:v>141.77413058649</c:v>
                </c:pt>
                <c:pt idx="1028">
                  <c:v>141.87090253738299</c:v>
                </c:pt>
                <c:pt idx="1029">
                  <c:v>141.960883215423</c:v>
                </c:pt>
                <c:pt idx="1030">
                  <c:v>142.070462879058</c:v>
                </c:pt>
                <c:pt idx="1031">
                  <c:v>142.16552263451899</c:v>
                </c:pt>
                <c:pt idx="1032">
                  <c:v>142.26236542763399</c:v>
                </c:pt>
                <c:pt idx="1033">
                  <c:v>142.361737124217</c:v>
                </c:pt>
                <c:pt idx="1034">
                  <c:v>142.45679087129699</c:v>
                </c:pt>
                <c:pt idx="1035">
                  <c:v>142.551609908367</c:v>
                </c:pt>
                <c:pt idx="1036">
                  <c:v>142.64057056451199</c:v>
                </c:pt>
                <c:pt idx="1037">
                  <c:v>142.73899804802599</c:v>
                </c:pt>
                <c:pt idx="1038">
                  <c:v>142.83657645986099</c:v>
                </c:pt>
                <c:pt idx="1039">
                  <c:v>142.935903891902</c:v>
                </c:pt>
                <c:pt idx="1040">
                  <c:v>143.040210055567</c:v>
                </c:pt>
                <c:pt idx="1041">
                  <c:v>143.13334802411001</c:v>
                </c:pt>
                <c:pt idx="1042">
                  <c:v>143.231408736388</c:v>
                </c:pt>
                <c:pt idx="1043">
                  <c:v>143.32698402011701</c:v>
                </c:pt>
                <c:pt idx="1044">
                  <c:v>143.42522031131699</c:v>
                </c:pt>
                <c:pt idx="1045">
                  <c:v>143.51981848344701</c:v>
                </c:pt>
                <c:pt idx="1046">
                  <c:v>143.61878540027899</c:v>
                </c:pt>
                <c:pt idx="1047">
                  <c:v>143.716079196549</c:v>
                </c:pt>
                <c:pt idx="1048">
                  <c:v>143.826373876063</c:v>
                </c:pt>
                <c:pt idx="1049">
                  <c:v>143.92442023523799</c:v>
                </c:pt>
                <c:pt idx="1050">
                  <c:v>144.01243326067501</c:v>
                </c:pt>
                <c:pt idx="1051">
                  <c:v>144.09927729588</c:v>
                </c:pt>
                <c:pt idx="1052">
                  <c:v>144.207260682174</c:v>
                </c:pt>
                <c:pt idx="1053">
                  <c:v>144.308552605877</c:v>
                </c:pt>
                <c:pt idx="1054">
                  <c:v>144.40580775503699</c:v>
                </c:pt>
                <c:pt idx="1055">
                  <c:v>144.50079908173799</c:v>
                </c:pt>
                <c:pt idx="1056">
                  <c:v>144.603573154077</c:v>
                </c:pt>
                <c:pt idx="1057">
                  <c:v>144.70087288586799</c:v>
                </c:pt>
                <c:pt idx="1058">
                  <c:v>144.806701501014</c:v>
                </c:pt>
                <c:pt idx="1059">
                  <c:v>144.89970282334701</c:v>
                </c:pt>
                <c:pt idx="1060">
                  <c:v>144.99345209817699</c:v>
                </c:pt>
                <c:pt idx="1061">
                  <c:v>145.091283373686</c:v>
                </c:pt>
                <c:pt idx="1062">
                  <c:v>145.19439835729801</c:v>
                </c:pt>
                <c:pt idx="1063">
                  <c:v>145.29861561486601</c:v>
                </c:pt>
                <c:pt idx="1064">
                  <c:v>145.403981578448</c:v>
                </c:pt>
                <c:pt idx="1065">
                  <c:v>145.500445505534</c:v>
                </c:pt>
                <c:pt idx="1066">
                  <c:v>145.60826894907601</c:v>
                </c:pt>
                <c:pt idx="1067">
                  <c:v>145.72681520677699</c:v>
                </c:pt>
                <c:pt idx="1068">
                  <c:v>145.83303007145301</c:v>
                </c:pt>
                <c:pt idx="1069">
                  <c:v>145.919083156592</c:v>
                </c:pt>
                <c:pt idx="1070">
                  <c:v>146.01884012046</c:v>
                </c:pt>
                <c:pt idx="1071">
                  <c:v>146.11975368794501</c:v>
                </c:pt>
                <c:pt idx="1072">
                  <c:v>146.21461065227101</c:v>
                </c:pt>
                <c:pt idx="1073">
                  <c:v>146.32343845289199</c:v>
                </c:pt>
                <c:pt idx="1074">
                  <c:v>146.42225185967101</c:v>
                </c:pt>
                <c:pt idx="1075">
                  <c:v>146.52431191152999</c:v>
                </c:pt>
                <c:pt idx="1076">
                  <c:v>146.62595007712</c:v>
                </c:pt>
                <c:pt idx="1077">
                  <c:v>146.73491098942699</c:v>
                </c:pt>
                <c:pt idx="1078">
                  <c:v>146.83878768112999</c:v>
                </c:pt>
                <c:pt idx="1079">
                  <c:v>146.94343297545501</c:v>
                </c:pt>
                <c:pt idx="1080">
                  <c:v>147.02996871997399</c:v>
                </c:pt>
                <c:pt idx="1081">
                  <c:v>147.123997699765</c:v>
                </c:pt>
                <c:pt idx="1082">
                  <c:v>147.219022446933</c:v>
                </c:pt>
                <c:pt idx="1083">
                  <c:v>147.31516160715</c:v>
                </c:pt>
                <c:pt idx="1084">
                  <c:v>147.41528679785199</c:v>
                </c:pt>
                <c:pt idx="1085">
                  <c:v>147.52100367502501</c:v>
                </c:pt>
                <c:pt idx="1086">
                  <c:v>147.62351797382999</c:v>
                </c:pt>
                <c:pt idx="1087">
                  <c:v>147.71876306288601</c:v>
                </c:pt>
                <c:pt idx="1088">
                  <c:v>147.82352945344701</c:v>
                </c:pt>
                <c:pt idx="1089">
                  <c:v>147.932073748817</c:v>
                </c:pt>
                <c:pt idx="1090">
                  <c:v>148.03814522281499</c:v>
                </c:pt>
                <c:pt idx="1091">
                  <c:v>148.141005116473</c:v>
                </c:pt>
                <c:pt idx="1092">
                  <c:v>148.23690329120399</c:v>
                </c:pt>
                <c:pt idx="1093">
                  <c:v>148.33305450766201</c:v>
                </c:pt>
                <c:pt idx="1094">
                  <c:v>148.43692654973199</c:v>
                </c:pt>
                <c:pt idx="1095">
                  <c:v>148.538681404496</c:v>
                </c:pt>
                <c:pt idx="1096">
                  <c:v>148.65034715031101</c:v>
                </c:pt>
                <c:pt idx="1097">
                  <c:v>148.76111974773599</c:v>
                </c:pt>
                <c:pt idx="1098">
                  <c:v>148.86597338943801</c:v>
                </c:pt>
                <c:pt idx="1099">
                  <c:v>148.961496461916</c:v>
                </c:pt>
                <c:pt idx="1100">
                  <c:v>149.05722310040599</c:v>
                </c:pt>
                <c:pt idx="1101">
                  <c:v>149.157635458351</c:v>
                </c:pt>
                <c:pt idx="1102">
                  <c:v>149.26081337983399</c:v>
                </c:pt>
                <c:pt idx="1103">
                  <c:v>149.36885347188601</c:v>
                </c:pt>
                <c:pt idx="1104">
                  <c:v>149.476653485833</c:v>
                </c:pt>
                <c:pt idx="1105">
                  <c:v>149.57710940260699</c:v>
                </c:pt>
                <c:pt idx="1106">
                  <c:v>149.68207850787601</c:v>
                </c:pt>
                <c:pt idx="1107">
                  <c:v>149.792341528197</c:v>
                </c:pt>
                <c:pt idx="1108">
                  <c:v>149.89721139404401</c:v>
                </c:pt>
                <c:pt idx="1109">
                  <c:v>149.99999822966299</c:v>
                </c:pt>
                <c:pt idx="1110">
                  <c:v>150.08718660552699</c:v>
                </c:pt>
                <c:pt idx="1111">
                  <c:v>150.185760455208</c:v>
                </c:pt>
                <c:pt idx="1112">
                  <c:v>150.28879292278199</c:v>
                </c:pt>
                <c:pt idx="1113">
                  <c:v>150.39114478966201</c:v>
                </c:pt>
                <c:pt idx="1114">
                  <c:v>150.49424248046699</c:v>
                </c:pt>
                <c:pt idx="1115">
                  <c:v>150.59722780650301</c:v>
                </c:pt>
                <c:pt idx="1116">
                  <c:v>150.710700708617</c:v>
                </c:pt>
                <c:pt idx="1117">
                  <c:v>150.82290195454701</c:v>
                </c:pt>
                <c:pt idx="1118">
                  <c:v>150.92633775946999</c:v>
                </c:pt>
                <c:pt idx="1119">
                  <c:v>151.02643403007701</c:v>
                </c:pt>
                <c:pt idx="1120">
                  <c:v>151.13009402545799</c:v>
                </c:pt>
                <c:pt idx="1121">
                  <c:v>151.23242066095401</c:v>
                </c:pt>
                <c:pt idx="1122">
                  <c:v>151.33001499659201</c:v>
                </c:pt>
                <c:pt idx="1123">
                  <c:v>151.426904470089</c:v>
                </c:pt>
                <c:pt idx="1124">
                  <c:v>151.535047932743</c:v>
                </c:pt>
                <c:pt idx="1125">
                  <c:v>151.638411452214</c:v>
                </c:pt>
                <c:pt idx="1126">
                  <c:v>151.73928113384301</c:v>
                </c:pt>
                <c:pt idx="1127">
                  <c:v>151.843205416779</c:v>
                </c:pt>
                <c:pt idx="1128">
                  <c:v>151.95122957520101</c:v>
                </c:pt>
                <c:pt idx="1129">
                  <c:v>152.06928297448599</c:v>
                </c:pt>
                <c:pt idx="1130">
                  <c:v>152.16869985729801</c:v>
                </c:pt>
                <c:pt idx="1131">
                  <c:v>152.27132069587799</c:v>
                </c:pt>
                <c:pt idx="1132">
                  <c:v>152.38307029539999</c:v>
                </c:pt>
                <c:pt idx="1133">
                  <c:v>152.49780307677</c:v>
                </c:pt>
                <c:pt idx="1134">
                  <c:v>152.60722794041899</c:v>
                </c:pt>
                <c:pt idx="1135">
                  <c:v>152.70954012941999</c:v>
                </c:pt>
                <c:pt idx="1136">
                  <c:v>152.826032584769</c:v>
                </c:pt>
                <c:pt idx="1137">
                  <c:v>152.92479211470501</c:v>
                </c:pt>
                <c:pt idx="1138">
                  <c:v>153.02593266949</c:v>
                </c:pt>
                <c:pt idx="1139">
                  <c:v>153.13004427412599</c:v>
                </c:pt>
                <c:pt idx="1140">
                  <c:v>153.245431069609</c:v>
                </c:pt>
                <c:pt idx="1141">
                  <c:v>153.35543573169099</c:v>
                </c:pt>
                <c:pt idx="1142">
                  <c:v>153.45923121898699</c:v>
                </c:pt>
                <c:pt idx="1143">
                  <c:v>153.57105383988301</c:v>
                </c:pt>
                <c:pt idx="1144">
                  <c:v>153.67387304673201</c:v>
                </c:pt>
                <c:pt idx="1145">
                  <c:v>153.779736650811</c:v>
                </c:pt>
                <c:pt idx="1146">
                  <c:v>153.88521270945</c:v>
                </c:pt>
                <c:pt idx="1147">
                  <c:v>154.00564113821301</c:v>
                </c:pt>
                <c:pt idx="1148">
                  <c:v>154.10206549556199</c:v>
                </c:pt>
                <c:pt idx="1149">
                  <c:v>154.212638399377</c:v>
                </c:pt>
                <c:pt idx="1150">
                  <c:v>154.31525265708001</c:v>
                </c:pt>
                <c:pt idx="1151">
                  <c:v>154.41631504705299</c:v>
                </c:pt>
                <c:pt idx="1152">
                  <c:v>154.521825170608</c:v>
                </c:pt>
                <c:pt idx="1153">
                  <c:v>154.63075954305501</c:v>
                </c:pt>
                <c:pt idx="1154">
                  <c:v>154.73572653543499</c:v>
                </c:pt>
                <c:pt idx="1155">
                  <c:v>154.83318859271199</c:v>
                </c:pt>
                <c:pt idx="1156">
                  <c:v>154.93836315821599</c:v>
                </c:pt>
                <c:pt idx="1157">
                  <c:v>155.04649457903599</c:v>
                </c:pt>
                <c:pt idx="1158">
                  <c:v>155.149085265417</c:v>
                </c:pt>
                <c:pt idx="1159">
                  <c:v>155.265878722991</c:v>
                </c:pt>
                <c:pt idx="1160">
                  <c:v>155.370197295156</c:v>
                </c:pt>
                <c:pt idx="1161">
                  <c:v>155.46269221389201</c:v>
                </c:pt>
                <c:pt idx="1162">
                  <c:v>155.561013052335</c:v>
                </c:pt>
                <c:pt idx="1163">
                  <c:v>155.663417384269</c:v>
                </c:pt>
                <c:pt idx="1164">
                  <c:v>155.76520520587999</c:v>
                </c:pt>
                <c:pt idx="1165">
                  <c:v>155.86729679577201</c:v>
                </c:pt>
                <c:pt idx="1166">
                  <c:v>155.95876844708701</c:v>
                </c:pt>
                <c:pt idx="1167">
                  <c:v>156.06744082796899</c:v>
                </c:pt>
                <c:pt idx="1168">
                  <c:v>156.17537693478499</c:v>
                </c:pt>
                <c:pt idx="1169">
                  <c:v>156.29620305576699</c:v>
                </c:pt>
                <c:pt idx="1170">
                  <c:v>156.40292054072401</c:v>
                </c:pt>
                <c:pt idx="1171">
                  <c:v>156.508846007964</c:v>
                </c:pt>
                <c:pt idx="1172">
                  <c:v>156.60970097897501</c:v>
                </c:pt>
                <c:pt idx="1173">
                  <c:v>156.736120501013</c:v>
                </c:pt>
                <c:pt idx="1174">
                  <c:v>156.84949310195199</c:v>
                </c:pt>
                <c:pt idx="1175">
                  <c:v>156.95381899524801</c:v>
                </c:pt>
                <c:pt idx="1176">
                  <c:v>157.059953287589</c:v>
                </c:pt>
                <c:pt idx="1177">
                  <c:v>157.177343071347</c:v>
                </c:pt>
                <c:pt idx="1178">
                  <c:v>157.28013801821399</c:v>
                </c:pt>
                <c:pt idx="1179">
                  <c:v>157.38120850302499</c:v>
                </c:pt>
                <c:pt idx="1180">
                  <c:v>157.492437185743</c:v>
                </c:pt>
                <c:pt idx="1181">
                  <c:v>157.60383579336599</c:v>
                </c:pt>
                <c:pt idx="1182">
                  <c:v>157.706065357981</c:v>
                </c:pt>
                <c:pt idx="1183">
                  <c:v>157.800863009018</c:v>
                </c:pt>
                <c:pt idx="1184">
                  <c:v>157.89937575145299</c:v>
                </c:pt>
                <c:pt idx="1185">
                  <c:v>158.00740791765401</c:v>
                </c:pt>
                <c:pt idx="1186">
                  <c:v>158.104919639408</c:v>
                </c:pt>
                <c:pt idx="1187">
                  <c:v>158.22519739854999</c:v>
                </c:pt>
                <c:pt idx="1188">
                  <c:v>158.33037575694499</c:v>
                </c:pt>
                <c:pt idx="1189">
                  <c:v>158.441449361845</c:v>
                </c:pt>
                <c:pt idx="1190">
                  <c:v>158.54521589609999</c:v>
                </c:pt>
                <c:pt idx="1191">
                  <c:v>158.652880486079</c:v>
                </c:pt>
                <c:pt idx="1192">
                  <c:v>158.76675214302901</c:v>
                </c:pt>
                <c:pt idx="1193">
                  <c:v>158.866714535862</c:v>
                </c:pt>
                <c:pt idx="1194">
                  <c:v>158.97046900443499</c:v>
                </c:pt>
                <c:pt idx="1195">
                  <c:v>159.07679046600899</c:v>
                </c:pt>
                <c:pt idx="1196">
                  <c:v>159.18745416318399</c:v>
                </c:pt>
                <c:pt idx="1197">
                  <c:v>159.302488731788</c:v>
                </c:pt>
                <c:pt idx="1198">
                  <c:v>159.40063956750501</c:v>
                </c:pt>
                <c:pt idx="1199">
                  <c:v>159.503676760698</c:v>
                </c:pt>
                <c:pt idx="1200">
                  <c:v>159.61336991278401</c:v>
                </c:pt>
                <c:pt idx="1201">
                  <c:v>159.73530231613299</c:v>
                </c:pt>
                <c:pt idx="1202">
                  <c:v>159.84980337744801</c:v>
                </c:pt>
                <c:pt idx="1203">
                  <c:v>159.95767705867101</c:v>
                </c:pt>
                <c:pt idx="1204">
                  <c:v>160.063228740082</c:v>
                </c:pt>
                <c:pt idx="1205">
                  <c:v>160.164260644519</c:v>
                </c:pt>
                <c:pt idx="1206">
                  <c:v>160.269091165666</c:v>
                </c:pt>
                <c:pt idx="1207">
                  <c:v>160.38075906040601</c:v>
                </c:pt>
                <c:pt idx="1208">
                  <c:v>160.47917941863099</c:v>
                </c:pt>
                <c:pt idx="1209">
                  <c:v>160.57680882613499</c:v>
                </c:pt>
                <c:pt idx="1210">
                  <c:v>160.684209575545</c:v>
                </c:pt>
                <c:pt idx="1211">
                  <c:v>160.79249959668499</c:v>
                </c:pt>
                <c:pt idx="1212">
                  <c:v>160.91040784294401</c:v>
                </c:pt>
                <c:pt idx="1213">
                  <c:v>161.02201505433499</c:v>
                </c:pt>
                <c:pt idx="1214">
                  <c:v>161.13212362948701</c:v>
                </c:pt>
                <c:pt idx="1215">
                  <c:v>161.23390802085299</c:v>
                </c:pt>
                <c:pt idx="1216">
                  <c:v>161.345127933648</c:v>
                </c:pt>
                <c:pt idx="1217">
                  <c:v>161.45059735022201</c:v>
                </c:pt>
                <c:pt idx="1218">
                  <c:v>161.55817558961999</c:v>
                </c:pt>
                <c:pt idx="1219">
                  <c:v>161.66608581496899</c:v>
                </c:pt>
                <c:pt idx="1220">
                  <c:v>161.776081286466</c:v>
                </c:pt>
                <c:pt idx="1221">
                  <c:v>161.893797654358</c:v>
                </c:pt>
                <c:pt idx="1222">
                  <c:v>161.999334403381</c:v>
                </c:pt>
                <c:pt idx="1223">
                  <c:v>162.11635919302799</c:v>
                </c:pt>
                <c:pt idx="1224">
                  <c:v>162.23485581166099</c:v>
                </c:pt>
                <c:pt idx="1225">
                  <c:v>162.32944351485199</c:v>
                </c:pt>
                <c:pt idx="1226">
                  <c:v>162.43515110489599</c:v>
                </c:pt>
                <c:pt idx="1227">
                  <c:v>162.549972691769</c:v>
                </c:pt>
                <c:pt idx="1228">
                  <c:v>162.658356174776</c:v>
                </c:pt>
                <c:pt idx="1229">
                  <c:v>162.76604974260999</c:v>
                </c:pt>
                <c:pt idx="1230">
                  <c:v>162.879525865864</c:v>
                </c:pt>
                <c:pt idx="1231">
                  <c:v>162.988050546339</c:v>
                </c:pt>
                <c:pt idx="1232">
                  <c:v>163.09271592566</c:v>
                </c:pt>
                <c:pt idx="1233">
                  <c:v>163.19986521651799</c:v>
                </c:pt>
                <c:pt idx="1234">
                  <c:v>163.310217735245</c:v>
                </c:pt>
                <c:pt idx="1235">
                  <c:v>163.42471415588599</c:v>
                </c:pt>
                <c:pt idx="1236">
                  <c:v>163.52695971708599</c:v>
                </c:pt>
                <c:pt idx="1237">
                  <c:v>163.63939737288399</c:v>
                </c:pt>
                <c:pt idx="1238">
                  <c:v>163.74226122897201</c:v>
                </c:pt>
                <c:pt idx="1239">
                  <c:v>163.84869922775999</c:v>
                </c:pt>
                <c:pt idx="1240">
                  <c:v>163.97041231279701</c:v>
                </c:pt>
                <c:pt idx="1241">
                  <c:v>164.08486242540101</c:v>
                </c:pt>
                <c:pt idx="1242">
                  <c:v>164.19380653007701</c:v>
                </c:pt>
                <c:pt idx="1243">
                  <c:v>164.30781491367401</c:v>
                </c:pt>
                <c:pt idx="1244">
                  <c:v>164.421518698787</c:v>
                </c:pt>
                <c:pt idx="1245">
                  <c:v>164.53386494213601</c:v>
                </c:pt>
                <c:pt idx="1246">
                  <c:v>164.63782816081701</c:v>
                </c:pt>
                <c:pt idx="1247">
                  <c:v>164.75448569162799</c:v>
                </c:pt>
                <c:pt idx="1248">
                  <c:v>164.86801432086099</c:v>
                </c:pt>
                <c:pt idx="1249">
                  <c:v>164.990161778724</c:v>
                </c:pt>
                <c:pt idx="1250">
                  <c:v>165.09456342750701</c:v>
                </c:pt>
                <c:pt idx="1251">
                  <c:v>165.21311863486201</c:v>
                </c:pt>
                <c:pt idx="1252">
                  <c:v>165.321949494763</c:v>
                </c:pt>
                <c:pt idx="1253">
                  <c:v>165.44376881142</c:v>
                </c:pt>
                <c:pt idx="1254">
                  <c:v>165.56458005776099</c:v>
                </c:pt>
                <c:pt idx="1255">
                  <c:v>165.67884782899901</c:v>
                </c:pt>
                <c:pt idx="1256">
                  <c:v>165.79189489590399</c:v>
                </c:pt>
                <c:pt idx="1257">
                  <c:v>165.91082770804101</c:v>
                </c:pt>
                <c:pt idx="1258">
                  <c:v>166.00991692802299</c:v>
                </c:pt>
                <c:pt idx="1259">
                  <c:v>166.12246036213301</c:v>
                </c:pt>
                <c:pt idx="1260">
                  <c:v>166.21852506980099</c:v>
                </c:pt>
                <c:pt idx="1261">
                  <c:v>166.34425928704499</c:v>
                </c:pt>
                <c:pt idx="1262">
                  <c:v>166.457920238828</c:v>
                </c:pt>
                <c:pt idx="1263">
                  <c:v>166.57621020141499</c:v>
                </c:pt>
                <c:pt idx="1264">
                  <c:v>166.68023542249199</c:v>
                </c:pt>
                <c:pt idx="1265">
                  <c:v>166.793829827774</c:v>
                </c:pt>
                <c:pt idx="1266">
                  <c:v>166.908418541847</c:v>
                </c:pt>
                <c:pt idx="1267">
                  <c:v>167.01705911827301</c:v>
                </c:pt>
                <c:pt idx="1268">
                  <c:v>167.12666830382699</c:v>
                </c:pt>
                <c:pt idx="1269">
                  <c:v>167.25797298477301</c:v>
                </c:pt>
                <c:pt idx="1270">
                  <c:v>167.369549778249</c:v>
                </c:pt>
                <c:pt idx="1271">
                  <c:v>167.48253745935699</c:v>
                </c:pt>
                <c:pt idx="1272">
                  <c:v>167.60439947236199</c:v>
                </c:pt>
                <c:pt idx="1273">
                  <c:v>167.71468959407301</c:v>
                </c:pt>
                <c:pt idx="1274">
                  <c:v>167.82599602182401</c:v>
                </c:pt>
                <c:pt idx="1275">
                  <c:v>167.93958432894399</c:v>
                </c:pt>
                <c:pt idx="1276">
                  <c:v>168.06387852069199</c:v>
                </c:pt>
                <c:pt idx="1277">
                  <c:v>168.18176833468399</c:v>
                </c:pt>
                <c:pt idx="1278">
                  <c:v>168.30105645368801</c:v>
                </c:pt>
                <c:pt idx="1279">
                  <c:v>168.416273531169</c:v>
                </c:pt>
                <c:pt idx="1280">
                  <c:v>168.53503044575001</c:v>
                </c:pt>
                <c:pt idx="1281">
                  <c:v>168.662530775524</c:v>
                </c:pt>
                <c:pt idx="1282">
                  <c:v>168.779096025027</c:v>
                </c:pt>
                <c:pt idx="1283">
                  <c:v>168.90052727914701</c:v>
                </c:pt>
                <c:pt idx="1284">
                  <c:v>169.01763396810901</c:v>
                </c:pt>
                <c:pt idx="1285">
                  <c:v>169.127974278865</c:v>
                </c:pt>
                <c:pt idx="1286">
                  <c:v>169.24090283931901</c:v>
                </c:pt>
                <c:pt idx="1287">
                  <c:v>169.35697637256001</c:v>
                </c:pt>
                <c:pt idx="1288">
                  <c:v>169.47653281863799</c:v>
                </c:pt>
                <c:pt idx="1289">
                  <c:v>169.59182923929299</c:v>
                </c:pt>
                <c:pt idx="1290">
                  <c:v>169.70219809414499</c:v>
                </c:pt>
                <c:pt idx="1291">
                  <c:v>169.81752756609399</c:v>
                </c:pt>
                <c:pt idx="1292">
                  <c:v>169.925785147955</c:v>
                </c:pt>
                <c:pt idx="1293">
                  <c:v>170.05285225564401</c:v>
                </c:pt>
                <c:pt idx="1294">
                  <c:v>170.16291381046699</c:v>
                </c:pt>
                <c:pt idx="1295">
                  <c:v>170.27723201402901</c:v>
                </c:pt>
                <c:pt idx="1296">
                  <c:v>170.40352739110401</c:v>
                </c:pt>
                <c:pt idx="1297">
                  <c:v>170.518302236511</c:v>
                </c:pt>
                <c:pt idx="1298">
                  <c:v>170.64163673204999</c:v>
                </c:pt>
                <c:pt idx="1299">
                  <c:v>170.74896185294801</c:v>
                </c:pt>
                <c:pt idx="1300">
                  <c:v>170.860647233017</c:v>
                </c:pt>
                <c:pt idx="1301">
                  <c:v>170.97662518232499</c:v>
                </c:pt>
                <c:pt idx="1302">
                  <c:v>171.094381366189</c:v>
                </c:pt>
                <c:pt idx="1303">
                  <c:v>171.20447456544301</c:v>
                </c:pt>
                <c:pt idx="1304">
                  <c:v>171.32583089895999</c:v>
                </c:pt>
                <c:pt idx="1305">
                  <c:v>171.43682812826799</c:v>
                </c:pt>
                <c:pt idx="1306">
                  <c:v>171.54678790151101</c:v>
                </c:pt>
                <c:pt idx="1307">
                  <c:v>171.67086840926899</c:v>
                </c:pt>
                <c:pt idx="1308">
                  <c:v>171.779798998979</c:v>
                </c:pt>
                <c:pt idx="1309">
                  <c:v>171.894832189666</c:v>
                </c:pt>
                <c:pt idx="1310">
                  <c:v>172.01826424558999</c:v>
                </c:pt>
                <c:pt idx="1311">
                  <c:v>172.13342528126</c:v>
                </c:pt>
                <c:pt idx="1312">
                  <c:v>172.244403524891</c:v>
                </c:pt>
                <c:pt idx="1313">
                  <c:v>172.368241462328</c:v>
                </c:pt>
                <c:pt idx="1314">
                  <c:v>172.484761140719</c:v>
                </c:pt>
                <c:pt idx="1315">
                  <c:v>172.61311067877901</c:v>
                </c:pt>
                <c:pt idx="1316">
                  <c:v>172.73222817588899</c:v>
                </c:pt>
                <c:pt idx="1317">
                  <c:v>172.855925994606</c:v>
                </c:pt>
                <c:pt idx="1318">
                  <c:v>172.96047919092399</c:v>
                </c:pt>
                <c:pt idx="1319">
                  <c:v>173.087295922995</c:v>
                </c:pt>
                <c:pt idx="1320">
                  <c:v>173.21438554273499</c:v>
                </c:pt>
                <c:pt idx="1321">
                  <c:v>173.33383222540701</c:v>
                </c:pt>
                <c:pt idx="1322">
                  <c:v>173.45453147654499</c:v>
                </c:pt>
                <c:pt idx="1323">
                  <c:v>173.588240261077</c:v>
                </c:pt>
                <c:pt idx="1324">
                  <c:v>173.70542498464201</c:v>
                </c:pt>
                <c:pt idx="1325">
                  <c:v>173.818497138292</c:v>
                </c:pt>
                <c:pt idx="1326">
                  <c:v>173.94406550394999</c:v>
                </c:pt>
                <c:pt idx="1327">
                  <c:v>174.05951813096701</c:v>
                </c:pt>
                <c:pt idx="1328">
                  <c:v>174.176080043805</c:v>
                </c:pt>
                <c:pt idx="1329">
                  <c:v>174.301493328654</c:v>
                </c:pt>
                <c:pt idx="1330">
                  <c:v>174.41881223329699</c:v>
                </c:pt>
                <c:pt idx="1331">
                  <c:v>174.53799956696901</c:v>
                </c:pt>
                <c:pt idx="1332">
                  <c:v>174.65820917229399</c:v>
                </c:pt>
                <c:pt idx="1333">
                  <c:v>174.77630549727999</c:v>
                </c:pt>
                <c:pt idx="1334">
                  <c:v>174.888886923847</c:v>
                </c:pt>
                <c:pt idx="1335">
                  <c:v>175.012697471373</c:v>
                </c:pt>
                <c:pt idx="1336">
                  <c:v>175.130674593245</c:v>
                </c:pt>
                <c:pt idx="1337">
                  <c:v>175.24484870456101</c:v>
                </c:pt>
                <c:pt idx="1338">
                  <c:v>175.37097716412401</c:v>
                </c:pt>
                <c:pt idx="1339">
                  <c:v>175.492537180548</c:v>
                </c:pt>
                <c:pt idx="1340">
                  <c:v>175.59674758614099</c:v>
                </c:pt>
                <c:pt idx="1341">
                  <c:v>175.71949088349101</c:v>
                </c:pt>
                <c:pt idx="1342">
                  <c:v>175.82966768412899</c:v>
                </c:pt>
                <c:pt idx="1343">
                  <c:v>175.960124918437</c:v>
                </c:pt>
                <c:pt idx="1344">
                  <c:v>176.07654072224699</c:v>
                </c:pt>
                <c:pt idx="1345">
                  <c:v>176.19584051596701</c:v>
                </c:pt>
                <c:pt idx="1346">
                  <c:v>176.314159444696</c:v>
                </c:pt>
                <c:pt idx="1347">
                  <c:v>176.437202498337</c:v>
                </c:pt>
                <c:pt idx="1348">
                  <c:v>176.54697941819501</c:v>
                </c:pt>
                <c:pt idx="1349">
                  <c:v>176.66984557253301</c:v>
                </c:pt>
                <c:pt idx="1350">
                  <c:v>176.79706617741701</c:v>
                </c:pt>
                <c:pt idx="1351">
                  <c:v>176.92450439000001</c:v>
                </c:pt>
                <c:pt idx="1352">
                  <c:v>177.048759423192</c:v>
                </c:pt>
                <c:pt idx="1353">
                  <c:v>177.174704743756</c:v>
                </c:pt>
                <c:pt idx="1354">
                  <c:v>177.30529539009001</c:v>
                </c:pt>
                <c:pt idx="1355">
                  <c:v>177.432345606214</c:v>
                </c:pt>
                <c:pt idx="1356">
                  <c:v>177.557129835382</c:v>
                </c:pt>
                <c:pt idx="1357">
                  <c:v>177.676888683969</c:v>
                </c:pt>
                <c:pt idx="1358">
                  <c:v>177.79926871650801</c:v>
                </c:pt>
                <c:pt idx="1359">
                  <c:v>177.904219880281</c:v>
                </c:pt>
                <c:pt idx="1360">
                  <c:v>178.02313730585601</c:v>
                </c:pt>
                <c:pt idx="1361">
                  <c:v>178.13558553991999</c:v>
                </c:pt>
                <c:pt idx="1362">
                  <c:v>178.269536020131</c:v>
                </c:pt>
                <c:pt idx="1363">
                  <c:v>178.38419684303099</c:v>
                </c:pt>
                <c:pt idx="1364">
                  <c:v>178.50929509325999</c:v>
                </c:pt>
                <c:pt idx="1365">
                  <c:v>178.62407834112</c:v>
                </c:pt>
                <c:pt idx="1366">
                  <c:v>178.74716659822801</c:v>
                </c:pt>
                <c:pt idx="1367">
                  <c:v>178.88035518160001</c:v>
                </c:pt>
                <c:pt idx="1368">
                  <c:v>178.99484029674801</c:v>
                </c:pt>
                <c:pt idx="1369">
                  <c:v>179.10893857075601</c:v>
                </c:pt>
                <c:pt idx="1370">
                  <c:v>179.23510800319801</c:v>
                </c:pt>
                <c:pt idx="1371">
                  <c:v>179.366629540883</c:v>
                </c:pt>
                <c:pt idx="1372">
                  <c:v>179.48221617619001</c:v>
                </c:pt>
                <c:pt idx="1373">
                  <c:v>179.60304601226099</c:v>
                </c:pt>
                <c:pt idx="1374">
                  <c:v>179.718854092762</c:v>
                </c:pt>
                <c:pt idx="1375">
                  <c:v>179.84128403283901</c:v>
                </c:pt>
                <c:pt idx="1376">
                  <c:v>179.963879709396</c:v>
                </c:pt>
                <c:pt idx="1377">
                  <c:v>180.09057710061299</c:v>
                </c:pt>
                <c:pt idx="1378">
                  <c:v>180.21283882130001</c:v>
                </c:pt>
                <c:pt idx="1379">
                  <c:v>180.33771156074801</c:v>
                </c:pt>
                <c:pt idx="1380">
                  <c:v>180.45878046646399</c:v>
                </c:pt>
                <c:pt idx="1381">
                  <c:v>180.58254649496101</c:v>
                </c:pt>
                <c:pt idx="1382">
                  <c:v>180.69940953161</c:v>
                </c:pt>
                <c:pt idx="1383">
                  <c:v>180.83447270408499</c:v>
                </c:pt>
                <c:pt idx="1384">
                  <c:v>180.94674955279399</c:v>
                </c:pt>
                <c:pt idx="1385">
                  <c:v>181.067516309734</c:v>
                </c:pt>
                <c:pt idx="1386">
                  <c:v>181.19063950421301</c:v>
                </c:pt>
                <c:pt idx="1387">
                  <c:v>181.31272407126201</c:v>
                </c:pt>
                <c:pt idx="1388">
                  <c:v>181.43728969582699</c:v>
                </c:pt>
                <c:pt idx="1389">
                  <c:v>181.57156699804199</c:v>
                </c:pt>
                <c:pt idx="1390">
                  <c:v>181.69994449167601</c:v>
                </c:pt>
                <c:pt idx="1391">
                  <c:v>181.81699380247301</c:v>
                </c:pt>
                <c:pt idx="1392">
                  <c:v>181.950500861759</c:v>
                </c:pt>
                <c:pt idx="1393">
                  <c:v>182.06219471380899</c:v>
                </c:pt>
                <c:pt idx="1394">
                  <c:v>182.20013981138899</c:v>
                </c:pt>
                <c:pt idx="1395">
                  <c:v>182.32903643013</c:v>
                </c:pt>
                <c:pt idx="1396">
                  <c:v>182.463510315382</c:v>
                </c:pt>
                <c:pt idx="1397">
                  <c:v>182.58041705013099</c:v>
                </c:pt>
                <c:pt idx="1398">
                  <c:v>182.70491387185399</c:v>
                </c:pt>
                <c:pt idx="1399">
                  <c:v>182.83155048779599</c:v>
                </c:pt>
                <c:pt idx="1400">
                  <c:v>182.94581549565399</c:v>
                </c:pt>
                <c:pt idx="1401">
                  <c:v>183.06615295293599</c:v>
                </c:pt>
                <c:pt idx="1402">
                  <c:v>183.191575116059</c:v>
                </c:pt>
                <c:pt idx="1403">
                  <c:v>183.31604795343699</c:v>
                </c:pt>
                <c:pt idx="1404">
                  <c:v>183.44333199469301</c:v>
                </c:pt>
                <c:pt idx="1405">
                  <c:v>183.574424598316</c:v>
                </c:pt>
                <c:pt idx="1406">
                  <c:v>183.708070988016</c:v>
                </c:pt>
                <c:pt idx="1407">
                  <c:v>183.82175181716201</c:v>
                </c:pt>
                <c:pt idx="1408">
                  <c:v>183.95983277469099</c:v>
                </c:pt>
                <c:pt idx="1409">
                  <c:v>184.08509993815699</c:v>
                </c:pt>
                <c:pt idx="1410">
                  <c:v>184.22275665803099</c:v>
                </c:pt>
                <c:pt idx="1411">
                  <c:v>184.344520964563</c:v>
                </c:pt>
                <c:pt idx="1412">
                  <c:v>184.471017806775</c:v>
                </c:pt>
                <c:pt idx="1413">
                  <c:v>184.590527382055</c:v>
                </c:pt>
                <c:pt idx="1414">
                  <c:v>184.70964263326599</c:v>
                </c:pt>
                <c:pt idx="1415">
                  <c:v>184.83919716231199</c:v>
                </c:pt>
                <c:pt idx="1416">
                  <c:v>184.96242097760401</c:v>
                </c:pt>
                <c:pt idx="1417">
                  <c:v>185.08292526843999</c:v>
                </c:pt>
                <c:pt idx="1418">
                  <c:v>185.21011940302799</c:v>
                </c:pt>
                <c:pt idx="1419">
                  <c:v>185.34008042113501</c:v>
                </c:pt>
                <c:pt idx="1420">
                  <c:v>185.47573316929899</c:v>
                </c:pt>
                <c:pt idx="1421">
                  <c:v>185.60985464062901</c:v>
                </c:pt>
                <c:pt idx="1422">
                  <c:v>185.734740490929</c:v>
                </c:pt>
                <c:pt idx="1423">
                  <c:v>185.85855897730801</c:v>
                </c:pt>
                <c:pt idx="1424">
                  <c:v>185.97132436350299</c:v>
                </c:pt>
                <c:pt idx="1425">
                  <c:v>186.096730816416</c:v>
                </c:pt>
                <c:pt idx="1426">
                  <c:v>186.22221054475099</c:v>
                </c:pt>
                <c:pt idx="1427">
                  <c:v>186.35257513383601</c:v>
                </c:pt>
                <c:pt idx="1428">
                  <c:v>186.48233264580199</c:v>
                </c:pt>
                <c:pt idx="1429">
                  <c:v>186.60544683668601</c:v>
                </c:pt>
                <c:pt idx="1430">
                  <c:v>186.74652213084599</c:v>
                </c:pt>
                <c:pt idx="1431">
                  <c:v>186.87737248284299</c:v>
                </c:pt>
                <c:pt idx="1432">
                  <c:v>187.029554420153</c:v>
                </c:pt>
                <c:pt idx="1433">
                  <c:v>187.16054476033801</c:v>
                </c:pt>
                <c:pt idx="1434">
                  <c:v>187.28218449475901</c:v>
                </c:pt>
                <c:pt idx="1435">
                  <c:v>187.418244646895</c:v>
                </c:pt>
                <c:pt idx="1436">
                  <c:v>187.548999615458</c:v>
                </c:pt>
                <c:pt idx="1437">
                  <c:v>187.67255785157499</c:v>
                </c:pt>
                <c:pt idx="1438">
                  <c:v>187.80764239634399</c:v>
                </c:pt>
                <c:pt idx="1439">
                  <c:v>187.935879902159</c:v>
                </c:pt>
                <c:pt idx="1440">
                  <c:v>188.06525118037399</c:v>
                </c:pt>
                <c:pt idx="1441">
                  <c:v>188.19740139770801</c:v>
                </c:pt>
                <c:pt idx="1442">
                  <c:v>188.32530370779099</c:v>
                </c:pt>
                <c:pt idx="1443">
                  <c:v>188.44987901327201</c:v>
                </c:pt>
                <c:pt idx="1444">
                  <c:v>188.57604928011301</c:v>
                </c:pt>
                <c:pt idx="1445">
                  <c:v>188.70578271270401</c:v>
                </c:pt>
                <c:pt idx="1446">
                  <c:v>188.838729703138</c:v>
                </c:pt>
                <c:pt idx="1447">
                  <c:v>188.96081263344101</c:v>
                </c:pt>
                <c:pt idx="1448">
                  <c:v>189.09381304234299</c:v>
                </c:pt>
                <c:pt idx="1449">
                  <c:v>189.225767400178</c:v>
                </c:pt>
                <c:pt idx="1450">
                  <c:v>189.367499655893</c:v>
                </c:pt>
                <c:pt idx="1451">
                  <c:v>189.49840811592301</c:v>
                </c:pt>
                <c:pt idx="1452">
                  <c:v>189.628596731475</c:v>
                </c:pt>
                <c:pt idx="1453">
                  <c:v>189.756325683451</c:v>
                </c:pt>
                <c:pt idx="1454">
                  <c:v>189.88333276562901</c:v>
                </c:pt>
                <c:pt idx="1455">
                  <c:v>190.005702314671</c:v>
                </c:pt>
                <c:pt idx="1456">
                  <c:v>190.14625652142999</c:v>
                </c:pt>
                <c:pt idx="1457">
                  <c:v>190.270066348927</c:v>
                </c:pt>
                <c:pt idx="1458">
                  <c:v>190.40887182497599</c:v>
                </c:pt>
                <c:pt idx="1459">
                  <c:v>190.535239970069</c:v>
                </c:pt>
                <c:pt idx="1460">
                  <c:v>190.66546231796301</c:v>
                </c:pt>
                <c:pt idx="1461">
                  <c:v>190.80547626242401</c:v>
                </c:pt>
                <c:pt idx="1462">
                  <c:v>190.924171987048</c:v>
                </c:pt>
                <c:pt idx="1463">
                  <c:v>191.046007360365</c:v>
                </c:pt>
                <c:pt idx="1464">
                  <c:v>191.165796345628</c:v>
                </c:pt>
                <c:pt idx="1465">
                  <c:v>191.29512445601401</c:v>
                </c:pt>
                <c:pt idx="1466">
                  <c:v>191.418126796671</c:v>
                </c:pt>
                <c:pt idx="1467">
                  <c:v>191.542429744126</c:v>
                </c:pt>
                <c:pt idx="1468">
                  <c:v>191.67851984573301</c:v>
                </c:pt>
                <c:pt idx="1469">
                  <c:v>191.817198521394</c:v>
                </c:pt>
                <c:pt idx="1470">
                  <c:v>191.94575688218401</c:v>
                </c:pt>
                <c:pt idx="1471">
                  <c:v>192.0768609145</c:v>
                </c:pt>
                <c:pt idx="1472">
                  <c:v>192.20353547007699</c:v>
                </c:pt>
                <c:pt idx="1473">
                  <c:v>192.346416266316</c:v>
                </c:pt>
                <c:pt idx="1474">
                  <c:v>192.49124225992401</c:v>
                </c:pt>
                <c:pt idx="1475">
                  <c:v>192.627547863698</c:v>
                </c:pt>
                <c:pt idx="1476">
                  <c:v>192.749937275593</c:v>
                </c:pt>
                <c:pt idx="1477">
                  <c:v>192.89439609138199</c:v>
                </c:pt>
                <c:pt idx="1478">
                  <c:v>193.02263407958301</c:v>
                </c:pt>
                <c:pt idx="1479">
                  <c:v>193.14452386629401</c:v>
                </c:pt>
                <c:pt idx="1480">
                  <c:v>193.274251237377</c:v>
                </c:pt>
                <c:pt idx="1481">
                  <c:v>193.39446134067899</c:v>
                </c:pt>
                <c:pt idx="1482">
                  <c:v>193.53798610849401</c:v>
                </c:pt>
                <c:pt idx="1483">
                  <c:v>193.686115194721</c:v>
                </c:pt>
                <c:pt idx="1484">
                  <c:v>193.816236826888</c:v>
                </c:pt>
                <c:pt idx="1485">
                  <c:v>193.94460897207699</c:v>
                </c:pt>
                <c:pt idx="1486">
                  <c:v>194.08823522230401</c:v>
                </c:pt>
                <c:pt idx="1487">
                  <c:v>194.222292527364</c:v>
                </c:pt>
                <c:pt idx="1488">
                  <c:v>194.366666242365</c:v>
                </c:pt>
                <c:pt idx="1489">
                  <c:v>194.49367625678099</c:v>
                </c:pt>
                <c:pt idx="1490">
                  <c:v>194.61187250896799</c:v>
                </c:pt>
                <c:pt idx="1491">
                  <c:v>194.74866841161901</c:v>
                </c:pt>
                <c:pt idx="1492">
                  <c:v>194.88566738725299</c:v>
                </c:pt>
                <c:pt idx="1493">
                  <c:v>195.01663543454299</c:v>
                </c:pt>
                <c:pt idx="1494">
                  <c:v>195.15256887930201</c:v>
                </c:pt>
                <c:pt idx="1495">
                  <c:v>195.28621151758</c:v>
                </c:pt>
                <c:pt idx="1496">
                  <c:v>195.416678515435</c:v>
                </c:pt>
                <c:pt idx="1497">
                  <c:v>195.55103660419499</c:v>
                </c:pt>
                <c:pt idx="1498">
                  <c:v>195.672486113952</c:v>
                </c:pt>
                <c:pt idx="1499">
                  <c:v>195.803376722172</c:v>
                </c:pt>
                <c:pt idx="1500">
                  <c:v>195.948891924967</c:v>
                </c:pt>
                <c:pt idx="1501">
                  <c:v>196.085700743236</c:v>
                </c:pt>
                <c:pt idx="1502">
                  <c:v>196.22308411271499</c:v>
                </c:pt>
                <c:pt idx="1503">
                  <c:v>196.35827591785201</c:v>
                </c:pt>
                <c:pt idx="1504">
                  <c:v>196.49774908406999</c:v>
                </c:pt>
                <c:pt idx="1505">
                  <c:v>196.63712359352701</c:v>
                </c:pt>
                <c:pt idx="1506">
                  <c:v>196.77565415679501</c:v>
                </c:pt>
                <c:pt idx="1507">
                  <c:v>196.91302095559499</c:v>
                </c:pt>
                <c:pt idx="1508">
                  <c:v>197.04551933132299</c:v>
                </c:pt>
                <c:pt idx="1509">
                  <c:v>197.17437804784601</c:v>
                </c:pt>
                <c:pt idx="1510">
                  <c:v>197.29770654904999</c:v>
                </c:pt>
                <c:pt idx="1511">
                  <c:v>197.43425218875799</c:v>
                </c:pt>
                <c:pt idx="1512">
                  <c:v>197.59059731129699</c:v>
                </c:pt>
                <c:pt idx="1513">
                  <c:v>197.73457414650801</c:v>
                </c:pt>
                <c:pt idx="1514">
                  <c:v>197.86562714327201</c:v>
                </c:pt>
                <c:pt idx="1515">
                  <c:v>198.00556430017701</c:v>
                </c:pt>
                <c:pt idx="1516">
                  <c:v>198.155791638762</c:v>
                </c:pt>
                <c:pt idx="1517">
                  <c:v>198.28251356119199</c:v>
                </c:pt>
                <c:pt idx="1518">
                  <c:v>198.424908542808</c:v>
                </c:pt>
                <c:pt idx="1519">
                  <c:v>198.570561461165</c:v>
                </c:pt>
                <c:pt idx="1520">
                  <c:v>198.70698617533299</c:v>
                </c:pt>
                <c:pt idx="1521">
                  <c:v>198.83625297233201</c:v>
                </c:pt>
                <c:pt idx="1522">
                  <c:v>198.98234434098899</c:v>
                </c:pt>
                <c:pt idx="1523">
                  <c:v>199.10287011257901</c:v>
                </c:pt>
                <c:pt idx="1524">
                  <c:v>199.23345369222901</c:v>
                </c:pt>
                <c:pt idx="1525">
                  <c:v>199.38540334880699</c:v>
                </c:pt>
                <c:pt idx="1526">
                  <c:v>199.519238545912</c:v>
                </c:pt>
                <c:pt idx="1527">
                  <c:v>199.64944305347299</c:v>
                </c:pt>
                <c:pt idx="1528">
                  <c:v>199.770319408745</c:v>
                </c:pt>
                <c:pt idx="1529">
                  <c:v>199.91201706136201</c:v>
                </c:pt>
                <c:pt idx="1530">
                  <c:v>200.06148772183499</c:v>
                </c:pt>
                <c:pt idx="1531">
                  <c:v>200.199912370558</c:v>
                </c:pt>
                <c:pt idx="1532">
                  <c:v>200.35079946377499</c:v>
                </c:pt>
                <c:pt idx="1533">
                  <c:v>200.48743966478301</c:v>
                </c:pt>
                <c:pt idx="1534">
                  <c:v>200.62521933096201</c:v>
                </c:pt>
                <c:pt idx="1535">
                  <c:v>200.75218936588999</c:v>
                </c:pt>
                <c:pt idx="1536">
                  <c:v>200.89051215358899</c:v>
                </c:pt>
                <c:pt idx="1537">
                  <c:v>201.03195259069699</c:v>
                </c:pt>
                <c:pt idx="1538">
                  <c:v>201.162048830792</c:v>
                </c:pt>
                <c:pt idx="1539">
                  <c:v>201.27394887165701</c:v>
                </c:pt>
                <c:pt idx="1540">
                  <c:v>201.398094823918</c:v>
                </c:pt>
                <c:pt idx="1541">
                  <c:v>201.53304292479501</c:v>
                </c:pt>
                <c:pt idx="1542">
                  <c:v>201.66037790233199</c:v>
                </c:pt>
                <c:pt idx="1543">
                  <c:v>201.78188876874799</c:v>
                </c:pt>
                <c:pt idx="1544">
                  <c:v>201.90252251848301</c:v>
                </c:pt>
                <c:pt idx="1545">
                  <c:v>202.028977735052</c:v>
                </c:pt>
                <c:pt idx="1546">
                  <c:v>202.17781241554701</c:v>
                </c:pt>
                <c:pt idx="1547">
                  <c:v>202.30437876396601</c:v>
                </c:pt>
                <c:pt idx="1548">
                  <c:v>202.43290317263401</c:v>
                </c:pt>
                <c:pt idx="1549">
                  <c:v>202.56684631338601</c:v>
                </c:pt>
                <c:pt idx="1550">
                  <c:v>202.70499691794899</c:v>
                </c:pt>
                <c:pt idx="1551">
                  <c:v>202.831444329986</c:v>
                </c:pt>
                <c:pt idx="1552">
                  <c:v>202.96328528957901</c:v>
                </c:pt>
                <c:pt idx="1553">
                  <c:v>203.110388456793</c:v>
                </c:pt>
                <c:pt idx="1554">
                  <c:v>203.247444265008</c:v>
                </c:pt>
                <c:pt idx="1555">
                  <c:v>203.395138478467</c:v>
                </c:pt>
                <c:pt idx="1556">
                  <c:v>203.53156256282901</c:v>
                </c:pt>
                <c:pt idx="1557">
                  <c:v>203.670752426787</c:v>
                </c:pt>
                <c:pt idx="1558">
                  <c:v>203.81410902737801</c:v>
                </c:pt>
                <c:pt idx="1559">
                  <c:v>203.94960491152</c:v>
                </c:pt>
                <c:pt idx="1560">
                  <c:v>204.09472317380801</c:v>
                </c:pt>
                <c:pt idx="1561">
                  <c:v>204.23602685419601</c:v>
                </c:pt>
                <c:pt idx="1562">
                  <c:v>204.376987783853</c:v>
                </c:pt>
                <c:pt idx="1563">
                  <c:v>204.51048633899401</c:v>
                </c:pt>
                <c:pt idx="1564">
                  <c:v>204.63436346411299</c:v>
                </c:pt>
                <c:pt idx="1565">
                  <c:v>204.76650698464601</c:v>
                </c:pt>
                <c:pt idx="1566">
                  <c:v>204.90067894082</c:v>
                </c:pt>
                <c:pt idx="1567">
                  <c:v>205.03645961884499</c:v>
                </c:pt>
                <c:pt idx="1568">
                  <c:v>205.16173493866199</c:v>
                </c:pt>
                <c:pt idx="1569">
                  <c:v>205.30270946231099</c:v>
                </c:pt>
                <c:pt idx="1570">
                  <c:v>205.44451104168701</c:v>
                </c:pt>
                <c:pt idx="1571">
                  <c:v>205.601356360474</c:v>
                </c:pt>
                <c:pt idx="1572">
                  <c:v>205.73930385578899</c:v>
                </c:pt>
                <c:pt idx="1573">
                  <c:v>205.871889018514</c:v>
                </c:pt>
                <c:pt idx="1574">
                  <c:v>206.01323763681799</c:v>
                </c:pt>
                <c:pt idx="1575">
                  <c:v>206.154512408697</c:v>
                </c:pt>
                <c:pt idx="1576">
                  <c:v>206.27499290720499</c:v>
                </c:pt>
                <c:pt idx="1577">
                  <c:v>206.415872126171</c:v>
                </c:pt>
                <c:pt idx="1578">
                  <c:v>206.557583949339</c:v>
                </c:pt>
                <c:pt idx="1579">
                  <c:v>206.69366211873901</c:v>
                </c:pt>
                <c:pt idx="1580">
                  <c:v>206.85030507771299</c:v>
                </c:pt>
                <c:pt idx="1581">
                  <c:v>206.991549740598</c:v>
                </c:pt>
                <c:pt idx="1582">
                  <c:v>207.137509120103</c:v>
                </c:pt>
                <c:pt idx="1583">
                  <c:v>207.27172094365599</c:v>
                </c:pt>
                <c:pt idx="1584">
                  <c:v>207.414390624052</c:v>
                </c:pt>
                <c:pt idx="1585">
                  <c:v>207.55114763284101</c:v>
                </c:pt>
                <c:pt idx="1586">
                  <c:v>207.69512097999899</c:v>
                </c:pt>
                <c:pt idx="1587">
                  <c:v>207.834556830699</c:v>
                </c:pt>
                <c:pt idx="1588">
                  <c:v>207.96680773061701</c:v>
                </c:pt>
                <c:pt idx="1589">
                  <c:v>208.098698185346</c:v>
                </c:pt>
                <c:pt idx="1590">
                  <c:v>208.243256984374</c:v>
                </c:pt>
                <c:pt idx="1591">
                  <c:v>208.38965990179</c:v>
                </c:pt>
                <c:pt idx="1592">
                  <c:v>208.54556893163999</c:v>
                </c:pt>
                <c:pt idx="1593">
                  <c:v>208.676266219702</c:v>
                </c:pt>
                <c:pt idx="1594">
                  <c:v>208.81008438347601</c:v>
                </c:pt>
                <c:pt idx="1595">
                  <c:v>208.95173812854799</c:v>
                </c:pt>
                <c:pt idx="1596">
                  <c:v>209.08952323300699</c:v>
                </c:pt>
                <c:pt idx="1597">
                  <c:v>209.22285286457301</c:v>
                </c:pt>
                <c:pt idx="1598">
                  <c:v>209.371739280339</c:v>
                </c:pt>
                <c:pt idx="1599">
                  <c:v>209.515921345539</c:v>
                </c:pt>
                <c:pt idx="1600">
                  <c:v>209.66060205858801</c:v>
                </c:pt>
                <c:pt idx="1601">
                  <c:v>209.80846399142499</c:v>
                </c:pt>
                <c:pt idx="1602">
                  <c:v>209.94474074489901</c:v>
                </c:pt>
                <c:pt idx="1603">
                  <c:v>210.09282750470399</c:v>
                </c:pt>
                <c:pt idx="1604">
                  <c:v>210.24046042807501</c:v>
                </c:pt>
                <c:pt idx="1605">
                  <c:v>210.39906416534399</c:v>
                </c:pt>
                <c:pt idx="1606">
                  <c:v>210.540662948902</c:v>
                </c:pt>
                <c:pt idx="1607">
                  <c:v>210.693441048095</c:v>
                </c:pt>
                <c:pt idx="1608">
                  <c:v>210.83625369559601</c:v>
                </c:pt>
                <c:pt idx="1609">
                  <c:v>210.99147579250601</c:v>
                </c:pt>
                <c:pt idx="1610">
                  <c:v>211.13572465982699</c:v>
                </c:pt>
                <c:pt idx="1611">
                  <c:v>211.27528706526499</c:v>
                </c:pt>
                <c:pt idx="1612">
                  <c:v>211.42149742079599</c:v>
                </c:pt>
                <c:pt idx="1613">
                  <c:v>211.55719196837501</c:v>
                </c:pt>
                <c:pt idx="1614">
                  <c:v>211.688321510169</c:v>
                </c:pt>
                <c:pt idx="1615">
                  <c:v>211.83721271339201</c:v>
                </c:pt>
                <c:pt idx="1616">
                  <c:v>211.99403008440299</c:v>
                </c:pt>
                <c:pt idx="1617">
                  <c:v>212.12889870364799</c:v>
                </c:pt>
                <c:pt idx="1618">
                  <c:v>212.27021469486999</c:v>
                </c:pt>
                <c:pt idx="1619">
                  <c:v>212.40961224549901</c:v>
                </c:pt>
                <c:pt idx="1620">
                  <c:v>212.55224704622401</c:v>
                </c:pt>
                <c:pt idx="1621">
                  <c:v>212.70470627111001</c:v>
                </c:pt>
                <c:pt idx="1622">
                  <c:v>212.851501252204</c:v>
                </c:pt>
                <c:pt idx="1623">
                  <c:v>213.00552355158601</c:v>
                </c:pt>
                <c:pt idx="1624">
                  <c:v>213.16525816414099</c:v>
                </c:pt>
                <c:pt idx="1625">
                  <c:v>213.308680140728</c:v>
                </c:pt>
                <c:pt idx="1626">
                  <c:v>213.44992158135801</c:v>
                </c:pt>
                <c:pt idx="1627">
                  <c:v>213.59839738657601</c:v>
                </c:pt>
                <c:pt idx="1628">
                  <c:v>213.76185915843499</c:v>
                </c:pt>
                <c:pt idx="1629">
                  <c:v>213.88419206829499</c:v>
                </c:pt>
                <c:pt idx="1630">
                  <c:v>214.01922039055901</c:v>
                </c:pt>
                <c:pt idx="1631">
                  <c:v>214.18211235748601</c:v>
                </c:pt>
                <c:pt idx="1632">
                  <c:v>214.33716235113499</c:v>
                </c:pt>
                <c:pt idx="1633">
                  <c:v>214.48596384969201</c:v>
                </c:pt>
                <c:pt idx="1634">
                  <c:v>214.63001393762499</c:v>
                </c:pt>
                <c:pt idx="1635">
                  <c:v>214.764826790412</c:v>
                </c:pt>
                <c:pt idx="1636">
                  <c:v>214.91652382212601</c:v>
                </c:pt>
                <c:pt idx="1637">
                  <c:v>215.055649900399</c:v>
                </c:pt>
                <c:pt idx="1638">
                  <c:v>215.20067324034201</c:v>
                </c:pt>
                <c:pt idx="1639">
                  <c:v>215.33356420224601</c:v>
                </c:pt>
                <c:pt idx="1640">
                  <c:v>215.48061892358399</c:v>
                </c:pt>
                <c:pt idx="1641">
                  <c:v>215.622170197233</c:v>
                </c:pt>
                <c:pt idx="1642">
                  <c:v>215.769133761679</c:v>
                </c:pt>
                <c:pt idx="1643">
                  <c:v>215.91872439333201</c:v>
                </c:pt>
                <c:pt idx="1644">
                  <c:v>216.05442634577099</c:v>
                </c:pt>
                <c:pt idx="1645">
                  <c:v>216.205744219282</c:v>
                </c:pt>
                <c:pt idx="1646">
                  <c:v>216.37579307290699</c:v>
                </c:pt>
                <c:pt idx="1647">
                  <c:v>216.49807512090999</c:v>
                </c:pt>
                <c:pt idx="1648">
                  <c:v>216.65978766725499</c:v>
                </c:pt>
                <c:pt idx="1649">
                  <c:v>216.80692875831201</c:v>
                </c:pt>
                <c:pt idx="1650">
                  <c:v>216.96895869128599</c:v>
                </c:pt>
                <c:pt idx="1651">
                  <c:v>217.115478968676</c:v>
                </c:pt>
                <c:pt idx="1652">
                  <c:v>217.27102602135301</c:v>
                </c:pt>
                <c:pt idx="1653">
                  <c:v>217.41646689041801</c:v>
                </c:pt>
                <c:pt idx="1654">
                  <c:v>217.56968835115501</c:v>
                </c:pt>
                <c:pt idx="1655">
                  <c:v>217.72550827456999</c:v>
                </c:pt>
                <c:pt idx="1656">
                  <c:v>217.883789219031</c:v>
                </c:pt>
                <c:pt idx="1657">
                  <c:v>218.025200583295</c:v>
                </c:pt>
                <c:pt idx="1658">
                  <c:v>218.180906784858</c:v>
                </c:pt>
                <c:pt idx="1659">
                  <c:v>218.33072712855099</c:v>
                </c:pt>
                <c:pt idx="1660">
                  <c:v>218.49090576121199</c:v>
                </c:pt>
                <c:pt idx="1661">
                  <c:v>218.63042735941499</c:v>
                </c:pt>
                <c:pt idx="1662">
                  <c:v>218.77094229887999</c:v>
                </c:pt>
                <c:pt idx="1663">
                  <c:v>218.92200291824</c:v>
                </c:pt>
                <c:pt idx="1664">
                  <c:v>219.06952397849801</c:v>
                </c:pt>
                <c:pt idx="1665">
                  <c:v>219.21716149636501</c:v>
                </c:pt>
                <c:pt idx="1666">
                  <c:v>219.36299579092599</c:v>
                </c:pt>
                <c:pt idx="1667">
                  <c:v>219.507449668097</c:v>
                </c:pt>
                <c:pt idx="1668">
                  <c:v>219.66059425307199</c:v>
                </c:pt>
                <c:pt idx="1669">
                  <c:v>219.815998213407</c:v>
                </c:pt>
                <c:pt idx="1670">
                  <c:v>219.97090687420399</c:v>
                </c:pt>
                <c:pt idx="1671">
                  <c:v>220.12055030423801</c:v>
                </c:pt>
                <c:pt idx="1672">
                  <c:v>220.27801590534199</c:v>
                </c:pt>
                <c:pt idx="1673">
                  <c:v>220.428494308723</c:v>
                </c:pt>
              </c:numCache>
            </c:numRef>
          </c:val>
          <c:smooth val="0"/>
          <c:extLst>
            <c:ext xmlns:c16="http://schemas.microsoft.com/office/drawing/2014/chart" uri="{C3380CC4-5D6E-409C-BE32-E72D297353CC}">
              <c16:uniqueId val="{00000000-C70D-4BB7-8AB8-D03A09C5E263}"/>
            </c:ext>
          </c:extLst>
        </c:ser>
        <c:dLbls>
          <c:showLegendKey val="0"/>
          <c:showVal val="0"/>
          <c:showCatName val="0"/>
          <c:showSerName val="0"/>
          <c:showPercent val="0"/>
          <c:showBubbleSize val="0"/>
        </c:dLbls>
        <c:smooth val="0"/>
        <c:axId val="1104310144"/>
        <c:axId val="1104314408"/>
      </c:lineChart>
      <c:dateAx>
        <c:axId val="1104310144"/>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04314408"/>
        <c:crosses val="autoZero"/>
        <c:auto val="1"/>
        <c:lblOffset val="100"/>
        <c:baseTimeUnit val="days"/>
      </c:dateAx>
      <c:valAx>
        <c:axId val="11043144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0431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lotArea>
      <c:layout>
        <c:manualLayout>
          <c:layoutTarget val="inner"/>
          <c:xMode val="edge"/>
          <c:yMode val="edge"/>
          <c:x val="0.34094718633711463"/>
          <c:y val="0.27093681917211326"/>
          <c:w val="0.31108780524597462"/>
          <c:h val="0.72906318082788668"/>
        </c:manualLayout>
      </c:layout>
      <c:doughnutChart>
        <c:varyColors val="1"/>
        <c:ser>
          <c:idx val="0"/>
          <c:order val="0"/>
          <c:tx>
            <c:strRef>
              <c:f>ceoSubs!$M$1</c:f>
              <c:strCache>
                <c:ptCount val="1"/>
                <c:pt idx="0">
                  <c:v>Monthly Retention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33-46B0-8727-47DD815F292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3633-46B0-8727-47DD815F292C}"/>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3633-46B0-8727-47DD815F292C}"/>
              </c:ext>
            </c:extLst>
          </c:dPt>
          <c:dPt>
            <c:idx val="3"/>
            <c:bubble3D val="0"/>
            <c:spPr>
              <a:noFill/>
              <a:ln w="19050">
                <a:noFill/>
              </a:ln>
              <a:effectLst/>
            </c:spPr>
            <c:extLst>
              <c:ext xmlns:c16="http://schemas.microsoft.com/office/drawing/2014/chart" uri="{C3380CC4-5D6E-409C-BE32-E72D297353CC}">
                <c16:uniqueId val="{00000007-3633-46B0-8727-47DD815F292C}"/>
              </c:ext>
            </c:extLst>
          </c:dPt>
          <c:dLbls>
            <c:dLbl>
              <c:idx val="0"/>
              <c:delete val="1"/>
              <c:extLst>
                <c:ext xmlns:c15="http://schemas.microsoft.com/office/drawing/2012/chart" uri="{CE6537A1-D6FC-4f65-9D91-7224C49458BB}"/>
                <c:ext xmlns:c16="http://schemas.microsoft.com/office/drawing/2014/chart" uri="{C3380CC4-5D6E-409C-BE32-E72D297353CC}">
                  <c16:uniqueId val="{00000001-3633-46B0-8727-47DD815F292C}"/>
                </c:ext>
              </c:extLst>
            </c:dLbl>
            <c:dLbl>
              <c:idx val="1"/>
              <c:layout>
                <c:manualLayout>
                  <c:x val="2.280702384501274E-2"/>
                  <c:y val="0.44880174291938996"/>
                </c:manualLayout>
              </c:layout>
              <c:tx>
                <c:rich>
                  <a:bodyPr rot="0" spcFirstLastPara="1" vertOverflow="ellipsis" vert="horz" wrap="square" lIns="38100" tIns="19050" rIns="38100" bIns="19050" anchor="ctr" anchorCtr="0">
                    <a:noAutofit/>
                  </a:bodyPr>
                  <a:lstStyle/>
                  <a:p>
                    <a:pPr algn="ctr">
                      <a:defRPr lang="en-US" sz="1800" b="0" i="0" u="none" strike="noStrike" kern="1200" baseline="0">
                        <a:solidFill>
                          <a:schemeClr val="bg1">
                            <a:lumMod val="95000"/>
                          </a:schemeClr>
                        </a:solidFill>
                        <a:latin typeface="+mn-lt"/>
                        <a:ea typeface="+mn-ea"/>
                        <a:cs typeface="+mn-cs"/>
                      </a:defRPr>
                    </a:pPr>
                    <a:fld id="{B384CDB8-ED91-49C5-B183-561A6DBB3268}" type="VALUE">
                      <a:rPr lang="en-US" sz="1800" b="0" i="0" u="none" strike="noStrike" kern="1200" baseline="0">
                        <a:solidFill>
                          <a:schemeClr val="bg1">
                            <a:lumMod val="95000"/>
                          </a:schemeClr>
                        </a:solidFill>
                        <a:latin typeface="+mn-lt"/>
                        <a:ea typeface="+mn-ea"/>
                        <a:cs typeface="+mn-cs"/>
                      </a:rPr>
                      <a:pPr algn="ctr">
                        <a:defRPr lang="en-US" sz="1800" b="0" i="0" u="none" strike="noStrike" kern="1200" baseline="0">
                          <a:solidFill>
                            <a:schemeClr val="bg1">
                              <a:lumMod val="95000"/>
                            </a:schemeClr>
                          </a:solidFill>
                          <a:latin typeface="+mn-lt"/>
                          <a:ea typeface="+mn-ea"/>
                          <a:cs typeface="+mn-cs"/>
                        </a:defRPr>
                      </a:pPr>
                      <a:t>[VALUE]</a:t>
                    </a:fld>
                    <a:r>
                      <a:rPr lang="en-US" sz="1800" b="0" i="0" u="none" strike="noStrike" kern="1200" baseline="0">
                        <a:solidFill>
                          <a:schemeClr val="bg1">
                            <a:lumMod val="95000"/>
                          </a:schemeClr>
                        </a:solidFill>
                        <a:latin typeface="+mn-lt"/>
                        <a:ea typeface="+mn-ea"/>
                        <a:cs typeface="+mn-cs"/>
                      </a:rPr>
                      <a:t>%</a:t>
                    </a:r>
                  </a:p>
                </c:rich>
              </c:tx>
              <c:spPr>
                <a:noFill/>
                <a:ln>
                  <a:noFill/>
                </a:ln>
                <a:effectLst/>
              </c:spPr>
              <c:txPr>
                <a:bodyPr rot="0" spcFirstLastPara="1" vertOverflow="ellipsis" vert="horz" wrap="square" lIns="38100" tIns="19050" rIns="38100" bIns="19050" anchor="ctr" anchorCtr="0">
                  <a:noAutofit/>
                </a:bodyPr>
                <a:lstStyle/>
                <a:p>
                  <a:pPr algn="ctr">
                    <a:defRPr lang="en-US" sz="1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778951451568298"/>
                      <c:h val="0.23516374178717855"/>
                    </c:manualLayout>
                  </c15:layout>
                  <c15:dlblFieldTable/>
                  <c15:showDataLabelsRange val="0"/>
                </c:ext>
                <c:ext xmlns:c16="http://schemas.microsoft.com/office/drawing/2014/chart" uri="{C3380CC4-5D6E-409C-BE32-E72D297353CC}">
                  <c16:uniqueId val="{00000003-3633-46B0-8727-47DD815F292C}"/>
                </c:ext>
              </c:extLst>
            </c:dLbl>
            <c:dLbl>
              <c:idx val="2"/>
              <c:delete val="1"/>
              <c:extLst>
                <c:ext xmlns:c15="http://schemas.microsoft.com/office/drawing/2012/chart" uri="{CE6537A1-D6FC-4f65-9D91-7224C49458BB}"/>
                <c:ext xmlns:c16="http://schemas.microsoft.com/office/drawing/2014/chart" uri="{C3380CC4-5D6E-409C-BE32-E72D297353CC}">
                  <c16:uniqueId val="{00000005-3633-46B0-8727-47DD815F292C}"/>
                </c:ext>
              </c:extLst>
            </c:dLbl>
            <c:dLbl>
              <c:idx val="3"/>
              <c:delete val="1"/>
              <c:extLst>
                <c:ext xmlns:c15="http://schemas.microsoft.com/office/drawing/2012/chart" uri="{CE6537A1-D6FC-4f65-9D91-7224C49458BB}"/>
                <c:ext xmlns:c16="http://schemas.microsoft.com/office/drawing/2014/chart" uri="{C3380CC4-5D6E-409C-BE32-E72D297353CC}">
                  <c16:uniqueId val="{00000007-3633-46B0-8727-47DD815F292C}"/>
                </c:ext>
              </c:extLst>
            </c:dLbl>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ceoSubs!$M$2:$M$5</c:f>
              <c:numCache>
                <c:formatCode>General</c:formatCode>
                <c:ptCount val="4"/>
                <c:pt idx="0">
                  <c:v>0</c:v>
                </c:pt>
                <c:pt idx="1">
                  <c:v>93</c:v>
                </c:pt>
                <c:pt idx="2">
                  <c:v>7</c:v>
                </c:pt>
                <c:pt idx="3">
                  <c:v>100</c:v>
                </c:pt>
              </c:numCache>
            </c:numRef>
          </c:val>
          <c:extLst>
            <c:ext xmlns:c16="http://schemas.microsoft.com/office/drawing/2014/chart" uri="{C3380CC4-5D6E-409C-BE32-E72D297353CC}">
              <c16:uniqueId val="{00000008-3633-46B0-8727-47DD815F292C}"/>
            </c:ext>
          </c:extLst>
        </c:ser>
        <c:dLbls>
          <c:showLegendKey val="0"/>
          <c:showVal val="1"/>
          <c:showCatName val="0"/>
          <c:showSerName val="0"/>
          <c:showPercent val="0"/>
          <c:showBubbleSize val="0"/>
          <c:showLeaderLines val="0"/>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400049</xdr:colOff>
      <xdr:row>0</xdr:row>
      <xdr:rowOff>19050</xdr:rowOff>
    </xdr:from>
    <xdr:to>
      <xdr:col>1</xdr:col>
      <xdr:colOff>1400174</xdr:colOff>
      <xdr:row>5</xdr:row>
      <xdr:rowOff>54978</xdr:rowOff>
    </xdr:to>
    <xdr:pic>
      <xdr:nvPicPr>
        <xdr:cNvPr id="3" name="Picture 2" descr="Netflix's New Originals Logo Animation: An Exploding Rainbow of ...">
          <a:extLst>
            <a:ext uri="{FF2B5EF4-FFF2-40B4-BE49-F238E27FC236}">
              <a16:creationId xmlns:a16="http://schemas.microsoft.com/office/drawing/2014/main" id="{85C4DB31-5900-48EB-BE22-3C74793F09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49" y="19050"/>
          <a:ext cx="1609725" cy="988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xdr:colOff>
      <xdr:row>0</xdr:row>
      <xdr:rowOff>28575</xdr:rowOff>
    </xdr:from>
    <xdr:to>
      <xdr:col>7</xdr:col>
      <xdr:colOff>590550</xdr:colOff>
      <xdr:row>7</xdr:row>
      <xdr:rowOff>142875</xdr:rowOff>
    </xdr:to>
    <xdr:graphicFrame macro="">
      <xdr:nvGraphicFramePr>
        <xdr:cNvPr id="4" name="Chart 3">
          <a:extLst>
            <a:ext uri="{FF2B5EF4-FFF2-40B4-BE49-F238E27FC236}">
              <a16:creationId xmlns:a16="http://schemas.microsoft.com/office/drawing/2014/main" id="{BBF1BA52-C50B-4C53-9D00-BC7BFF6C2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19052</xdr:colOff>
      <xdr:row>0</xdr:row>
      <xdr:rowOff>28575</xdr:rowOff>
    </xdr:from>
    <xdr:to>
      <xdr:col>14</xdr:col>
      <xdr:colOff>28576</xdr:colOff>
      <xdr:row>7</xdr:row>
      <xdr:rowOff>152401</xdr:rowOff>
    </xdr:to>
    <xdr:graphicFrame macro="">
      <xdr:nvGraphicFramePr>
        <xdr:cNvPr id="5" name="Chart 4">
          <a:extLst>
            <a:ext uri="{FF2B5EF4-FFF2-40B4-BE49-F238E27FC236}">
              <a16:creationId xmlns:a16="http://schemas.microsoft.com/office/drawing/2014/main" id="{D1A1CEE8-4313-4FD1-A06D-54EE299B2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9526</xdr:colOff>
      <xdr:row>8</xdr:row>
      <xdr:rowOff>47625</xdr:rowOff>
    </xdr:from>
    <xdr:to>
      <xdr:col>11</xdr:col>
      <xdr:colOff>171450</xdr:colOff>
      <xdr:row>22</xdr:row>
      <xdr:rowOff>133350</xdr:rowOff>
    </xdr:to>
    <xdr:graphicFrame macro="">
      <xdr:nvGraphicFramePr>
        <xdr:cNvPr id="13" name="Chart 12">
          <a:extLst>
            <a:ext uri="{FF2B5EF4-FFF2-40B4-BE49-F238E27FC236}">
              <a16:creationId xmlns:a16="http://schemas.microsoft.com/office/drawing/2014/main" id="{A374F832-B7F4-431C-B50D-26A776BD2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19049</xdr:colOff>
      <xdr:row>22</xdr:row>
      <xdr:rowOff>171451</xdr:rowOff>
    </xdr:from>
    <xdr:to>
      <xdr:col>11</xdr:col>
      <xdr:colOff>180974</xdr:colOff>
      <xdr:row>37</xdr:row>
      <xdr:rowOff>38101</xdr:rowOff>
    </xdr:to>
    <xdr:graphicFrame macro="">
      <xdr:nvGraphicFramePr>
        <xdr:cNvPr id="14" name="Chart 13">
          <a:extLst>
            <a:ext uri="{FF2B5EF4-FFF2-40B4-BE49-F238E27FC236}">
              <a16:creationId xmlns:a16="http://schemas.microsoft.com/office/drawing/2014/main" id="{F605121E-85AE-4981-A846-120B35C97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352425</xdr:colOff>
      <xdr:row>8</xdr:row>
      <xdr:rowOff>47626</xdr:rowOff>
    </xdr:from>
    <xdr:to>
      <xdr:col>20</xdr:col>
      <xdr:colOff>19050</xdr:colOff>
      <xdr:row>22</xdr:row>
      <xdr:rowOff>133351</xdr:rowOff>
    </xdr:to>
    <xdr:graphicFrame macro="">
      <xdr:nvGraphicFramePr>
        <xdr:cNvPr id="15" name="Chart 14">
          <a:extLst>
            <a:ext uri="{FF2B5EF4-FFF2-40B4-BE49-F238E27FC236}">
              <a16:creationId xmlns:a16="http://schemas.microsoft.com/office/drawing/2014/main" id="{96B5FC81-A98C-43C9-A7B3-201A20128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352424</xdr:colOff>
      <xdr:row>22</xdr:row>
      <xdr:rowOff>171450</xdr:rowOff>
    </xdr:from>
    <xdr:to>
      <xdr:col>20</xdr:col>
      <xdr:colOff>19049</xdr:colOff>
      <xdr:row>37</xdr:row>
      <xdr:rowOff>57150</xdr:rowOff>
    </xdr:to>
    <xdr:graphicFrame macro="">
      <xdr:nvGraphicFramePr>
        <xdr:cNvPr id="17" name="Chart 16">
          <a:extLst>
            <a:ext uri="{FF2B5EF4-FFF2-40B4-BE49-F238E27FC236}">
              <a16:creationId xmlns:a16="http://schemas.microsoft.com/office/drawing/2014/main" id="{AD6736D4-B962-485C-9B0A-64E33F092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47625</xdr:colOff>
      <xdr:row>0</xdr:row>
      <xdr:rowOff>19050</xdr:rowOff>
    </xdr:from>
    <xdr:to>
      <xdr:col>20</xdr:col>
      <xdr:colOff>9524</xdr:colOff>
      <xdr:row>7</xdr:row>
      <xdr:rowOff>142875</xdr:rowOff>
    </xdr:to>
    <xdr:graphicFrame macro="">
      <xdr:nvGraphicFramePr>
        <xdr:cNvPr id="18" name="Chart 17">
          <a:extLst>
            <a:ext uri="{FF2B5EF4-FFF2-40B4-BE49-F238E27FC236}">
              <a16:creationId xmlns:a16="http://schemas.microsoft.com/office/drawing/2014/main" id="{9AF003F6-76AE-413C-93BD-4AD211D50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0.67403</cdr:x>
      <cdr:y>0.37356</cdr:y>
    </cdr:from>
    <cdr:to>
      <cdr:x>0.8453</cdr:x>
      <cdr:y>0.53448</cdr:y>
    </cdr:to>
    <cdr:sp macro="" textlink="">
      <cdr:nvSpPr>
        <cdr:cNvPr id="2" name="TextBox 1">
          <a:extLst xmlns:a="http://schemas.openxmlformats.org/drawingml/2006/main">
            <a:ext uri="{FF2B5EF4-FFF2-40B4-BE49-F238E27FC236}">
              <a16:creationId xmlns:a16="http://schemas.microsoft.com/office/drawing/2014/main" id="{442DBC87-E06C-4600-A7D5-73624711EA9D}"/>
            </a:ext>
          </a:extLst>
        </cdr:cNvPr>
        <cdr:cNvSpPr txBox="1"/>
      </cdr:nvSpPr>
      <cdr:spPr>
        <a:xfrm xmlns:a="http://schemas.openxmlformats.org/drawingml/2006/main">
          <a:off x="2324101" y="619126"/>
          <a:ext cx="59055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solidFill>
                <a:schemeClr val="bg1"/>
              </a:solidFill>
            </a:rPr>
            <a:t>Target</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D07842-03A4-4B10-B247-8323094FE3BD}" name="Table2" displayName="Table2" ref="E1:E5" totalsRowShown="0">
  <autoFilter ref="E1:E5" xr:uid="{C9DD8F75-D161-433F-BB16-B4E7C516C076}"/>
  <tableColumns count="1">
    <tableColumn id="1" xr3:uid="{12863E9A-9D62-4D3D-B475-B2498726F23E}" name="Reg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BE95-3B3C-40C2-A5F8-0DE36C6FDD92}">
  <dimension ref="A1:AD38"/>
  <sheetViews>
    <sheetView showGridLines="0" tabSelected="1" workbookViewId="0">
      <selection activeCell="B30" sqref="B30"/>
    </sheetView>
  </sheetViews>
  <sheetFormatPr defaultRowHeight="15" x14ac:dyDescent="0.25"/>
  <cols>
    <col min="1" max="1" width="9.140625" customWidth="1"/>
    <col min="2" max="2" width="27.5703125" customWidth="1"/>
    <col min="3" max="3" width="9.140625" style="3"/>
    <col min="14" max="14" width="9.140625" customWidth="1"/>
    <col min="21" max="23" width="11.28515625" customWidth="1"/>
    <col min="24" max="24" width="12.28515625" customWidth="1"/>
    <col min="25" max="25" width="6.42578125" customWidth="1"/>
    <col min="26" max="26" width="9.140625" hidden="1" customWidth="1"/>
  </cols>
  <sheetData>
    <row r="1" spans="1:30" s="2" customFormat="1" x14ac:dyDescent="0.25">
      <c r="A1" s="1"/>
      <c r="B1" s="1"/>
      <c r="C1" s="1"/>
      <c r="D1" s="1"/>
      <c r="E1" s="1"/>
      <c r="F1" s="1"/>
      <c r="G1" s="1"/>
      <c r="H1" s="1"/>
      <c r="I1" s="1"/>
      <c r="J1" s="1"/>
      <c r="K1" s="1"/>
      <c r="L1" s="1"/>
      <c r="M1" s="1"/>
      <c r="N1" s="1"/>
      <c r="O1" s="1"/>
      <c r="P1" s="1"/>
      <c r="Q1" s="1"/>
      <c r="R1" s="1"/>
      <c r="S1" s="1"/>
      <c r="T1" s="1"/>
      <c r="U1" s="5"/>
      <c r="V1" s="5"/>
      <c r="W1" s="1"/>
      <c r="X1" s="1"/>
      <c r="Y1" s="1"/>
      <c r="Z1" s="1"/>
      <c r="AA1" s="5"/>
      <c r="AB1" s="5"/>
      <c r="AC1" s="5"/>
    </row>
    <row r="2" spans="1:30" s="2" customFormat="1" x14ac:dyDescent="0.25">
      <c r="A2" s="1"/>
      <c r="B2" s="1"/>
      <c r="C2" s="1"/>
      <c r="D2" s="1"/>
      <c r="E2" s="1"/>
      <c r="F2" s="1"/>
      <c r="G2" s="1"/>
      <c r="H2" s="1"/>
      <c r="I2" s="1"/>
      <c r="J2" s="1"/>
      <c r="K2" s="1"/>
      <c r="L2" s="1"/>
      <c r="M2" s="1"/>
      <c r="N2" s="1"/>
      <c r="O2" s="1"/>
      <c r="P2" s="1"/>
      <c r="Q2" s="1"/>
      <c r="R2" s="1"/>
      <c r="S2" s="1"/>
      <c r="T2" s="1"/>
      <c r="U2" s="5"/>
      <c r="V2" s="5"/>
      <c r="W2" s="1"/>
      <c r="X2" s="1"/>
      <c r="Y2" s="1"/>
      <c r="Z2" s="1"/>
      <c r="AA2" s="5"/>
      <c r="AB2" s="5"/>
      <c r="AC2" s="5"/>
    </row>
    <row r="3" spans="1:30" s="2" customFormat="1" x14ac:dyDescent="0.25">
      <c r="A3" s="1"/>
      <c r="B3" s="1"/>
      <c r="C3" s="1"/>
      <c r="D3" s="1"/>
      <c r="E3" s="1"/>
      <c r="F3" s="1"/>
      <c r="G3" s="1"/>
      <c r="H3" s="1"/>
      <c r="I3" s="1"/>
      <c r="J3" s="1"/>
      <c r="K3" s="1"/>
      <c r="L3" s="1"/>
      <c r="M3" s="1"/>
      <c r="N3" s="1"/>
      <c r="O3" s="1"/>
      <c r="P3" s="1"/>
      <c r="Q3" s="1"/>
      <c r="R3" s="1"/>
      <c r="S3" s="1"/>
      <c r="T3" s="1"/>
      <c r="U3" s="5"/>
      <c r="V3" s="5"/>
      <c r="W3" s="1"/>
      <c r="X3" s="1"/>
      <c r="Y3" s="1"/>
      <c r="Z3" s="1"/>
      <c r="AA3" s="5"/>
      <c r="AB3" s="5"/>
      <c r="AC3" s="5"/>
    </row>
    <row r="4" spans="1:30" s="2" customFormat="1" x14ac:dyDescent="0.25">
      <c r="A4" s="1"/>
      <c r="B4" s="1"/>
      <c r="C4" s="1"/>
      <c r="D4" s="1"/>
      <c r="E4" s="1"/>
      <c r="F4" s="1"/>
      <c r="G4" s="1"/>
      <c r="H4" s="1"/>
      <c r="I4" s="1"/>
      <c r="J4" s="1"/>
      <c r="K4" s="1"/>
      <c r="L4" s="1"/>
      <c r="M4" s="1"/>
      <c r="N4" s="1"/>
      <c r="O4" s="1"/>
      <c r="P4" s="1"/>
      <c r="Q4" s="1"/>
      <c r="R4" s="1"/>
      <c r="S4" s="1"/>
      <c r="T4" s="1"/>
      <c r="U4" s="5"/>
      <c r="V4" s="5"/>
      <c r="W4" s="1"/>
      <c r="X4" s="1"/>
      <c r="Y4" s="1"/>
      <c r="Z4" s="1"/>
      <c r="AA4" s="5"/>
      <c r="AB4" s="5"/>
      <c r="AC4" s="5"/>
    </row>
    <row r="5" spans="1:30" s="3" customFormat="1" x14ac:dyDescent="0.25">
      <c r="A5" s="4"/>
      <c r="B5" s="4"/>
      <c r="C5" s="5"/>
      <c r="D5" s="5"/>
      <c r="E5" s="5"/>
      <c r="F5" s="5"/>
      <c r="G5" s="5"/>
      <c r="H5" s="5"/>
      <c r="I5" s="5"/>
      <c r="J5" s="5"/>
      <c r="K5" s="5"/>
      <c r="L5" s="5"/>
      <c r="M5" s="5"/>
      <c r="N5" s="5"/>
      <c r="O5" s="5"/>
      <c r="P5" s="5"/>
      <c r="Q5" s="5"/>
      <c r="R5" s="5"/>
      <c r="S5" s="5"/>
      <c r="T5" s="5"/>
      <c r="U5" s="5"/>
      <c r="V5" s="5"/>
      <c r="W5" s="5"/>
      <c r="X5" s="5"/>
      <c r="Y5" s="5"/>
      <c r="Z5" s="5"/>
      <c r="AA5" s="5"/>
      <c r="AB5" s="5"/>
      <c r="AC5" s="5"/>
      <c r="AD5" s="6"/>
    </row>
    <row r="6" spans="1:30" x14ac:dyDescent="0.25">
      <c r="A6" s="4"/>
      <c r="B6" s="4"/>
      <c r="C6" s="5"/>
      <c r="D6" s="5"/>
      <c r="E6" s="5"/>
      <c r="F6" s="5"/>
      <c r="G6" s="5"/>
      <c r="H6" s="5"/>
      <c r="I6" s="5"/>
      <c r="J6" s="5"/>
      <c r="K6" s="5"/>
      <c r="L6" s="6"/>
      <c r="M6" s="5"/>
      <c r="N6" s="5"/>
      <c r="O6" s="5"/>
      <c r="P6" s="5"/>
      <c r="Q6" s="5"/>
      <c r="R6" s="5"/>
      <c r="S6" s="5"/>
      <c r="T6" s="5"/>
      <c r="U6" s="5"/>
      <c r="V6" s="5"/>
      <c r="W6" s="5"/>
      <c r="X6" s="5"/>
      <c r="Y6" s="5"/>
      <c r="Z6" s="5"/>
      <c r="AA6" s="5"/>
      <c r="AB6" s="5"/>
      <c r="AC6" s="5"/>
      <c r="AD6" s="6"/>
    </row>
    <row r="7" spans="1:30" x14ac:dyDescent="0.25">
      <c r="A7" s="117" t="s">
        <v>112</v>
      </c>
      <c r="B7" s="117"/>
      <c r="C7" s="5"/>
      <c r="D7" s="5"/>
      <c r="E7" s="5"/>
      <c r="F7" s="5"/>
      <c r="G7" s="5"/>
      <c r="H7" s="5"/>
      <c r="I7" s="5"/>
      <c r="J7" s="5"/>
      <c r="K7" s="5"/>
      <c r="L7" s="5"/>
      <c r="M7" s="5"/>
      <c r="N7" s="5"/>
      <c r="O7" s="5"/>
      <c r="P7" s="5"/>
      <c r="Q7" s="5"/>
      <c r="R7" s="5"/>
      <c r="S7" s="5"/>
      <c r="T7" s="5"/>
      <c r="U7" s="5"/>
      <c r="V7" s="5"/>
      <c r="W7" s="5"/>
      <c r="X7" s="5"/>
      <c r="Y7" s="5"/>
      <c r="Z7" s="5"/>
      <c r="AA7" s="5"/>
      <c r="AB7" s="5"/>
      <c r="AC7" s="5"/>
      <c r="AD7" s="6"/>
    </row>
    <row r="8" spans="1:30" x14ac:dyDescent="0.25">
      <c r="A8" s="117"/>
      <c r="B8" s="117"/>
      <c r="C8" s="5"/>
      <c r="D8" s="5"/>
      <c r="E8" s="5"/>
      <c r="F8" s="5"/>
      <c r="G8" s="5"/>
      <c r="H8" s="5"/>
      <c r="I8" s="5"/>
      <c r="J8" s="5"/>
      <c r="K8" s="5"/>
      <c r="L8" s="5"/>
      <c r="M8" s="5"/>
      <c r="N8" s="5"/>
      <c r="O8" s="5"/>
      <c r="P8" s="5"/>
      <c r="Q8" s="5"/>
      <c r="R8" s="5"/>
      <c r="S8" s="5"/>
      <c r="T8" s="5"/>
      <c r="U8" s="5"/>
      <c r="V8" s="5"/>
      <c r="W8" s="5"/>
      <c r="X8" s="5"/>
      <c r="Y8" s="5"/>
      <c r="Z8" s="5"/>
      <c r="AA8" s="5"/>
      <c r="AB8" s="5"/>
      <c r="AC8" s="5"/>
      <c r="AD8" s="6"/>
    </row>
    <row r="9" spans="1:30" x14ac:dyDescent="0.25">
      <c r="A9" s="118" t="s">
        <v>111</v>
      </c>
      <c r="B9" s="118"/>
      <c r="C9" s="8"/>
      <c r="D9" s="8"/>
      <c r="E9" s="8"/>
      <c r="F9" s="8"/>
      <c r="G9" s="8"/>
      <c r="H9" s="8"/>
      <c r="I9" s="5"/>
      <c r="J9" s="5"/>
      <c r="K9" s="5"/>
      <c r="L9" s="5"/>
      <c r="M9" s="5"/>
      <c r="N9" s="5"/>
      <c r="O9" s="5"/>
      <c r="P9" s="5"/>
      <c r="Q9" s="5"/>
      <c r="R9" s="5"/>
      <c r="S9" s="5"/>
      <c r="T9" s="5"/>
      <c r="U9" s="5"/>
      <c r="V9" s="5"/>
      <c r="W9" s="5"/>
      <c r="X9" s="5"/>
      <c r="Y9" s="5"/>
      <c r="Z9" s="5"/>
      <c r="AA9" s="5"/>
      <c r="AB9" s="5"/>
      <c r="AC9" s="5"/>
      <c r="AD9" s="6"/>
    </row>
    <row r="10" spans="1:30" ht="15" customHeight="1" x14ac:dyDescent="0.4">
      <c r="A10" s="118"/>
      <c r="B10" s="118"/>
      <c r="C10" s="8"/>
      <c r="D10" s="8"/>
      <c r="E10" s="8"/>
      <c r="F10" s="8"/>
      <c r="G10" s="8"/>
      <c r="H10" s="8"/>
      <c r="I10" s="116"/>
      <c r="J10" s="5"/>
      <c r="K10" s="5"/>
      <c r="L10" s="5"/>
      <c r="M10" s="5"/>
      <c r="N10" s="5"/>
      <c r="O10" s="5"/>
      <c r="P10" s="5"/>
      <c r="Q10" s="5"/>
      <c r="R10" s="5"/>
      <c r="S10" s="5"/>
      <c r="T10" s="5"/>
      <c r="U10" s="5"/>
      <c r="V10" s="5"/>
      <c r="W10" s="5"/>
      <c r="X10" s="5"/>
      <c r="Y10" s="5"/>
      <c r="Z10" s="5"/>
      <c r="AA10" s="5"/>
      <c r="AB10" s="5"/>
      <c r="AC10" s="5"/>
      <c r="AD10" s="6"/>
    </row>
    <row r="11" spans="1:30" ht="15" customHeight="1" x14ac:dyDescent="0.4">
      <c r="A11" s="1"/>
      <c r="B11" s="1"/>
      <c r="C11" s="116"/>
      <c r="D11" s="116"/>
      <c r="E11" s="116"/>
      <c r="F11" s="116"/>
      <c r="G11" s="116"/>
      <c r="H11" s="116"/>
      <c r="I11" s="116"/>
      <c r="J11" s="5"/>
      <c r="K11" s="5"/>
      <c r="L11" s="5"/>
      <c r="M11" s="5"/>
      <c r="N11" s="5"/>
      <c r="O11" s="5"/>
      <c r="P11" s="5"/>
      <c r="Q11" s="5"/>
      <c r="R11" s="5"/>
      <c r="S11" s="5"/>
      <c r="T11" s="5"/>
      <c r="U11" s="5"/>
      <c r="V11" s="5"/>
      <c r="W11" s="5"/>
      <c r="X11" s="5"/>
      <c r="Y11" s="5"/>
      <c r="Z11" s="5"/>
      <c r="AA11" s="5"/>
      <c r="AB11" s="5"/>
      <c r="AC11" s="5"/>
      <c r="AD11" s="6"/>
    </row>
    <row r="12" spans="1:30" ht="26.25" x14ac:dyDescent="0.4">
      <c r="A12" s="1"/>
      <c r="B12" s="1"/>
      <c r="C12" s="8"/>
      <c r="D12" s="8"/>
      <c r="E12" s="8"/>
      <c r="F12" s="8"/>
      <c r="G12" s="8"/>
      <c r="H12" s="8"/>
      <c r="I12" s="8"/>
      <c r="J12" s="5"/>
      <c r="K12" s="5"/>
      <c r="L12" s="5"/>
      <c r="M12" s="5"/>
      <c r="N12" s="5"/>
      <c r="O12" s="5"/>
      <c r="P12" s="5"/>
      <c r="Q12" s="5"/>
      <c r="R12" s="5"/>
      <c r="S12" s="5"/>
      <c r="T12" s="5"/>
      <c r="U12" s="5"/>
      <c r="V12" s="5"/>
      <c r="W12" s="5"/>
      <c r="X12" s="5"/>
      <c r="Y12" s="5"/>
      <c r="Z12" s="5"/>
      <c r="AA12" s="5"/>
      <c r="AB12" s="5"/>
      <c r="AC12" s="5"/>
      <c r="AD12" s="6"/>
    </row>
    <row r="13" spans="1:30" x14ac:dyDescent="0.25">
      <c r="A13" s="117" t="s">
        <v>113</v>
      </c>
      <c r="B13" s="11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6"/>
    </row>
    <row r="14" spans="1:30" x14ac:dyDescent="0.25">
      <c r="A14" s="117"/>
      <c r="B14" s="11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6"/>
    </row>
    <row r="15" spans="1:30" ht="15" customHeight="1" x14ac:dyDescent="0.25">
      <c r="A15" s="1"/>
      <c r="B15" s="1"/>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6"/>
    </row>
    <row r="16" spans="1:30" ht="15" customHeight="1" x14ac:dyDescent="0.25">
      <c r="A16" s="119" t="s">
        <v>114</v>
      </c>
      <c r="B16" s="119"/>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6"/>
    </row>
    <row r="17" spans="1:30" x14ac:dyDescent="0.25">
      <c r="A17" s="119"/>
      <c r="B17" s="119"/>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x14ac:dyDescent="0.25">
      <c r="A18" s="120">
        <v>42370</v>
      </c>
      <c r="B18" s="120"/>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x14ac:dyDescent="0.25">
      <c r="A19" s="120"/>
      <c r="B19" s="120"/>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x14ac:dyDescent="0.25">
      <c r="A20" s="119" t="s">
        <v>115</v>
      </c>
      <c r="B20" s="119"/>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x14ac:dyDescent="0.25">
      <c r="A21" s="119"/>
      <c r="B21" s="119"/>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x14ac:dyDescent="0.25">
      <c r="A22" s="120">
        <v>44043</v>
      </c>
      <c r="B22" s="120"/>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x14ac:dyDescent="0.25">
      <c r="A23" s="120"/>
      <c r="B23" s="120"/>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x14ac:dyDescent="0.25">
      <c r="A24" s="1"/>
      <c r="B24" s="1"/>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x14ac:dyDescent="0.25">
      <c r="A25" s="1"/>
      <c r="B25" s="1"/>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x14ac:dyDescent="0.25">
      <c r="A26" s="1"/>
      <c r="B26" s="1"/>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x14ac:dyDescent="0.25">
      <c r="A27" s="1"/>
      <c r="B27" s="1"/>
      <c r="C27" s="7"/>
      <c r="D27" s="7"/>
      <c r="E27" s="7"/>
      <c r="F27" s="7"/>
      <c r="G27" s="5"/>
      <c r="H27" s="5"/>
      <c r="I27" s="5"/>
      <c r="J27" s="5"/>
      <c r="K27" s="5"/>
      <c r="L27" s="5"/>
      <c r="M27" s="5"/>
      <c r="N27" s="5"/>
      <c r="O27" s="5"/>
      <c r="P27" s="5"/>
      <c r="Q27" s="5"/>
      <c r="R27" s="5"/>
      <c r="S27" s="5"/>
      <c r="T27" s="5"/>
      <c r="U27" s="5"/>
      <c r="V27" s="5"/>
      <c r="W27" s="5"/>
      <c r="X27" s="5"/>
      <c r="Y27" s="5"/>
      <c r="Z27" s="5"/>
      <c r="AA27" s="5"/>
      <c r="AB27" s="5"/>
      <c r="AC27" s="5"/>
      <c r="AD27" s="6"/>
    </row>
    <row r="28" spans="1:30" x14ac:dyDescent="0.25">
      <c r="A28" s="1"/>
      <c r="B28" s="1"/>
      <c r="C28" s="7"/>
      <c r="D28" s="7"/>
      <c r="E28" s="7"/>
      <c r="F28" s="7"/>
      <c r="G28" s="5"/>
      <c r="H28" s="5"/>
      <c r="I28" s="5"/>
      <c r="J28" s="5"/>
      <c r="K28" s="5"/>
      <c r="L28" s="5"/>
      <c r="M28" s="5"/>
      <c r="N28" s="5"/>
      <c r="O28" s="5"/>
      <c r="P28" s="5"/>
      <c r="Q28" s="5"/>
      <c r="R28" s="5"/>
      <c r="S28" s="5"/>
      <c r="T28" s="5"/>
      <c r="U28" s="5"/>
      <c r="V28" s="5"/>
      <c r="W28" s="5"/>
      <c r="X28" s="5"/>
      <c r="Y28" s="5"/>
      <c r="Z28" s="5"/>
      <c r="AA28" s="5"/>
      <c r="AB28" s="5"/>
      <c r="AC28" s="5"/>
      <c r="AD28" s="6"/>
    </row>
    <row r="29" spans="1:30" x14ac:dyDescent="0.25">
      <c r="A29" s="1"/>
      <c r="B29" s="1"/>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6"/>
    </row>
    <row r="30" spans="1:30" x14ac:dyDescent="0.25">
      <c r="A30" s="1"/>
      <c r="B30" s="1"/>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6"/>
    </row>
    <row r="31" spans="1:30" x14ac:dyDescent="0.25">
      <c r="A31" s="1"/>
      <c r="B31" s="1"/>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6"/>
    </row>
    <row r="32" spans="1:30" x14ac:dyDescent="0.25">
      <c r="A32" s="1"/>
      <c r="B32" s="1"/>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6"/>
    </row>
    <row r="33" spans="1:30" x14ac:dyDescent="0.25">
      <c r="A33" s="1"/>
      <c r="B33" s="1"/>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6"/>
    </row>
    <row r="34" spans="1:30" x14ac:dyDescent="0.25">
      <c r="A34" s="1"/>
      <c r="B34" s="1"/>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6"/>
    </row>
    <row r="35" spans="1:30" x14ac:dyDescent="0.25">
      <c r="A35" s="1"/>
      <c r="B35" s="1"/>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6"/>
    </row>
    <row r="36" spans="1:30" x14ac:dyDescent="0.25">
      <c r="A36" s="1"/>
      <c r="B36" s="1"/>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6"/>
    </row>
    <row r="37" spans="1:30" x14ac:dyDescent="0.25">
      <c r="A37" s="1"/>
      <c r="B37" s="1"/>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6"/>
    </row>
    <row r="38" spans="1:30" x14ac:dyDescent="0.25">
      <c r="A38" s="1"/>
      <c r="B38" s="1"/>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6"/>
    </row>
  </sheetData>
  <mergeCells count="11">
    <mergeCell ref="A22:B23"/>
    <mergeCell ref="C9:H10"/>
    <mergeCell ref="A9:B10"/>
    <mergeCell ref="A7:B8"/>
    <mergeCell ref="A13:B14"/>
    <mergeCell ref="A16:B17"/>
    <mergeCell ref="A20:B21"/>
    <mergeCell ref="A18:B19"/>
    <mergeCell ref="A5:B6"/>
    <mergeCell ref="C12:I12"/>
    <mergeCell ref="C27:F28"/>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2CEAC86-FD20-4959-8A0A-D46299ED4850}">
          <x14:formula1>
            <xm:f>ceoSubs!$E$2:$E$5</xm:f>
          </x14:formula1>
          <xm:sqref>A9:B10</xm:sqref>
        </x14:dataValidation>
        <x14:dataValidation type="list" allowBlank="1" showInputMessage="1" showErrorMessage="1" xr:uid="{C026CA9A-83AA-4D79-AE46-54B9C1BFCA65}">
          <x14:formula1>
            <xm:f>ceoSubs!$A$2:$A$1675</xm:f>
          </x14:formula1>
          <xm:sqref>A18:B19 A22:B23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1829-F6E0-4972-81F1-385FDC2FE9E6}">
  <dimension ref="A1:M1675"/>
  <sheetViews>
    <sheetView workbookViewId="0">
      <selection activeCell="M1" sqref="M1:M5"/>
    </sheetView>
  </sheetViews>
  <sheetFormatPr defaultRowHeight="15" x14ac:dyDescent="0.25"/>
  <cols>
    <col min="1" max="1" width="10.42578125" style="9" bestFit="1" customWidth="1"/>
    <col min="2" max="2" width="20" customWidth="1"/>
    <col min="3" max="3" width="35.85546875" customWidth="1"/>
    <col min="5" max="5" width="10.140625" customWidth="1"/>
  </cols>
  <sheetData>
    <row r="1" spans="1:13" x14ac:dyDescent="0.25">
      <c r="A1" s="9" t="s">
        <v>2</v>
      </c>
      <c r="B1" t="s">
        <v>0</v>
      </c>
      <c r="C1" t="s">
        <v>1</v>
      </c>
      <c r="E1" t="s">
        <v>109</v>
      </c>
      <c r="K1" t="s">
        <v>116</v>
      </c>
      <c r="M1" t="s">
        <v>117</v>
      </c>
    </row>
    <row r="2" spans="1:13" x14ac:dyDescent="0.25">
      <c r="A2" s="9" cm="1">
        <f t="array" ref="A2:A1675">_xlfn.SEQUENCE(1674, 1, 42370,1)</f>
        <v>42370</v>
      </c>
      <c r="B2">
        <v>70</v>
      </c>
      <c r="C2">
        <v>0</v>
      </c>
      <c r="E2" t="s">
        <v>95</v>
      </c>
      <c r="K2">
        <v>0</v>
      </c>
      <c r="M2">
        <v>0</v>
      </c>
    </row>
    <row r="3" spans="1:13" x14ac:dyDescent="0.25">
      <c r="A3" s="9">
        <v>42371</v>
      </c>
      <c r="B3">
        <v>70.049734586866904</v>
      </c>
      <c r="C3">
        <f>ROUNDUP($B1675,0)</f>
        <v>221</v>
      </c>
      <c r="E3" t="s">
        <v>110</v>
      </c>
      <c r="K3">
        <v>81</v>
      </c>
      <c r="M3">
        <v>93</v>
      </c>
    </row>
    <row r="4" spans="1:13" x14ac:dyDescent="0.25">
      <c r="A4" s="9">
        <v>42372</v>
      </c>
      <c r="B4">
        <v>70.101751838351404</v>
      </c>
      <c r="C4">
        <f>235-$C3</f>
        <v>14</v>
      </c>
      <c r="E4" t="s">
        <v>105</v>
      </c>
      <c r="K4">
        <v>19</v>
      </c>
      <c r="M4">
        <v>7</v>
      </c>
    </row>
    <row r="5" spans="1:13" x14ac:dyDescent="0.25">
      <c r="A5" s="9">
        <v>42373</v>
      </c>
      <c r="B5">
        <v>70.148635855901901</v>
      </c>
      <c r="C5">
        <v>235</v>
      </c>
      <c r="E5" t="s">
        <v>111</v>
      </c>
      <c r="K5">
        <v>100</v>
      </c>
      <c r="M5">
        <v>100</v>
      </c>
    </row>
    <row r="6" spans="1:13" x14ac:dyDescent="0.25">
      <c r="A6" s="9">
        <v>42374</v>
      </c>
      <c r="B6">
        <v>70.195974540278399</v>
      </c>
    </row>
    <row r="7" spans="1:13" x14ac:dyDescent="0.25">
      <c r="A7" s="9">
        <v>42375</v>
      </c>
      <c r="B7">
        <v>70.238554816439603</v>
      </c>
    </row>
    <row r="8" spans="1:13" x14ac:dyDescent="0.25">
      <c r="A8" s="9">
        <v>42376</v>
      </c>
      <c r="B8">
        <v>70.277272082522103</v>
      </c>
    </row>
    <row r="9" spans="1:13" x14ac:dyDescent="0.25">
      <c r="A9" s="9">
        <v>42377</v>
      </c>
      <c r="B9">
        <v>70.328016253407895</v>
      </c>
    </row>
    <row r="10" spans="1:13" x14ac:dyDescent="0.25">
      <c r="A10" s="9">
        <v>42378</v>
      </c>
      <c r="B10">
        <v>70.376559282968003</v>
      </c>
    </row>
    <row r="11" spans="1:13" x14ac:dyDescent="0.25">
      <c r="A11" s="9">
        <v>42379</v>
      </c>
      <c r="B11">
        <v>70.421846916178197</v>
      </c>
    </row>
    <row r="12" spans="1:13" x14ac:dyDescent="0.25">
      <c r="A12" s="9">
        <v>42380</v>
      </c>
      <c r="B12">
        <v>70.472645766007403</v>
      </c>
    </row>
    <row r="13" spans="1:13" x14ac:dyDescent="0.25">
      <c r="A13" s="9">
        <v>42381</v>
      </c>
      <c r="B13">
        <v>70.517685415140406</v>
      </c>
    </row>
    <row r="14" spans="1:13" x14ac:dyDescent="0.25">
      <c r="A14" s="9">
        <v>42382</v>
      </c>
      <c r="B14">
        <v>70.566683964475899</v>
      </c>
    </row>
    <row r="15" spans="1:13" x14ac:dyDescent="0.25">
      <c r="A15" s="9">
        <v>42383</v>
      </c>
      <c r="B15">
        <v>70.615379562433503</v>
      </c>
    </row>
    <row r="16" spans="1:13" x14ac:dyDescent="0.25">
      <c r="A16" s="9">
        <v>42384</v>
      </c>
      <c r="B16">
        <v>70.665653692010807</v>
      </c>
    </row>
    <row r="17" spans="1:2" x14ac:dyDescent="0.25">
      <c r="A17" s="9">
        <v>42385</v>
      </c>
      <c r="B17">
        <v>70.716647888753897</v>
      </c>
    </row>
    <row r="18" spans="1:2" x14ac:dyDescent="0.25">
      <c r="A18" s="9">
        <v>42386</v>
      </c>
      <c r="B18">
        <v>70.763887185230502</v>
      </c>
    </row>
    <row r="19" spans="1:2" x14ac:dyDescent="0.25">
      <c r="A19" s="9">
        <v>42387</v>
      </c>
      <c r="B19">
        <v>70.812629356531104</v>
      </c>
    </row>
    <row r="20" spans="1:2" x14ac:dyDescent="0.25">
      <c r="A20" s="9">
        <v>42388</v>
      </c>
      <c r="B20">
        <v>70.861564121945094</v>
      </c>
    </row>
    <row r="21" spans="1:2" x14ac:dyDescent="0.25">
      <c r="A21" s="9">
        <v>42389</v>
      </c>
      <c r="B21">
        <v>70.907566691782506</v>
      </c>
    </row>
    <row r="22" spans="1:2" x14ac:dyDescent="0.25">
      <c r="A22" s="9">
        <v>42390</v>
      </c>
      <c r="B22">
        <v>70.958574135759505</v>
      </c>
    </row>
    <row r="23" spans="1:2" x14ac:dyDescent="0.25">
      <c r="A23" s="9">
        <v>42391</v>
      </c>
      <c r="B23">
        <v>71.010733596602293</v>
      </c>
    </row>
    <row r="24" spans="1:2" x14ac:dyDescent="0.25">
      <c r="A24" s="9">
        <v>42392</v>
      </c>
      <c r="B24">
        <v>71.059138568874403</v>
      </c>
    </row>
    <row r="25" spans="1:2" x14ac:dyDescent="0.25">
      <c r="A25" s="9">
        <v>42393</v>
      </c>
      <c r="B25">
        <v>71.102994855858199</v>
      </c>
    </row>
    <row r="26" spans="1:2" x14ac:dyDescent="0.25">
      <c r="A26" s="9">
        <v>42394</v>
      </c>
      <c r="B26">
        <v>71.151348616708304</v>
      </c>
    </row>
    <row r="27" spans="1:2" x14ac:dyDescent="0.25">
      <c r="A27" s="9">
        <v>42395</v>
      </c>
      <c r="B27">
        <v>71.198836456164102</v>
      </c>
    </row>
    <row r="28" spans="1:2" x14ac:dyDescent="0.25">
      <c r="A28" s="9">
        <v>42396</v>
      </c>
      <c r="B28">
        <v>71.251256632712398</v>
      </c>
    </row>
    <row r="29" spans="1:2" x14ac:dyDescent="0.25">
      <c r="A29" s="9">
        <v>42397</v>
      </c>
      <c r="B29">
        <v>71.303228064619105</v>
      </c>
    </row>
    <row r="30" spans="1:2" x14ac:dyDescent="0.25">
      <c r="A30" s="9">
        <v>42398</v>
      </c>
      <c r="B30">
        <v>71.355178030172098</v>
      </c>
    </row>
    <row r="31" spans="1:2" x14ac:dyDescent="0.25">
      <c r="A31" s="9">
        <v>42399</v>
      </c>
      <c r="B31">
        <v>71.409132265637297</v>
      </c>
    </row>
    <row r="32" spans="1:2" x14ac:dyDescent="0.25">
      <c r="A32" s="9">
        <v>42400</v>
      </c>
      <c r="B32">
        <v>71.459707416366797</v>
      </c>
    </row>
    <row r="33" spans="1:2" x14ac:dyDescent="0.25">
      <c r="A33" s="9">
        <v>42401</v>
      </c>
      <c r="B33">
        <v>71.507377039495594</v>
      </c>
    </row>
    <row r="34" spans="1:2" x14ac:dyDescent="0.25">
      <c r="A34" s="9">
        <v>42402</v>
      </c>
      <c r="B34">
        <v>71.555863476551295</v>
      </c>
    </row>
    <row r="35" spans="1:2" x14ac:dyDescent="0.25">
      <c r="A35" s="9">
        <v>42403</v>
      </c>
      <c r="B35">
        <v>71.608204735490006</v>
      </c>
    </row>
    <row r="36" spans="1:2" x14ac:dyDescent="0.25">
      <c r="A36" s="9">
        <v>42404</v>
      </c>
      <c r="B36">
        <v>71.656857490820002</v>
      </c>
    </row>
    <row r="37" spans="1:2" x14ac:dyDescent="0.25">
      <c r="A37" s="9">
        <v>42405</v>
      </c>
      <c r="B37">
        <v>71.707630862118293</v>
      </c>
    </row>
    <row r="38" spans="1:2" x14ac:dyDescent="0.25">
      <c r="A38" s="9">
        <v>42406</v>
      </c>
      <c r="B38">
        <v>71.758411546252603</v>
      </c>
    </row>
    <row r="39" spans="1:2" x14ac:dyDescent="0.25">
      <c r="A39" s="9">
        <v>42407</v>
      </c>
      <c r="B39">
        <v>71.810864127810902</v>
      </c>
    </row>
    <row r="40" spans="1:2" x14ac:dyDescent="0.25">
      <c r="A40" s="9">
        <v>42408</v>
      </c>
      <c r="B40">
        <v>71.858011522182295</v>
      </c>
    </row>
    <row r="41" spans="1:2" x14ac:dyDescent="0.25">
      <c r="A41" s="9">
        <v>42409</v>
      </c>
      <c r="B41">
        <v>71.9105409699456</v>
      </c>
    </row>
    <row r="42" spans="1:2" x14ac:dyDescent="0.25">
      <c r="A42" s="9">
        <v>42410</v>
      </c>
      <c r="B42">
        <v>71.957327192690201</v>
      </c>
    </row>
    <row r="43" spans="1:2" x14ac:dyDescent="0.25">
      <c r="A43" s="9">
        <v>42411</v>
      </c>
      <c r="B43">
        <v>72.011999529358206</v>
      </c>
    </row>
    <row r="44" spans="1:2" x14ac:dyDescent="0.25">
      <c r="A44" s="9">
        <v>42412</v>
      </c>
      <c r="B44">
        <v>72.059612327890804</v>
      </c>
    </row>
    <row r="45" spans="1:2" x14ac:dyDescent="0.25">
      <c r="A45" s="9">
        <v>42413</v>
      </c>
      <c r="B45">
        <v>72.113234349000393</v>
      </c>
    </row>
    <row r="46" spans="1:2" x14ac:dyDescent="0.25">
      <c r="A46" s="9">
        <v>42414</v>
      </c>
      <c r="B46">
        <v>72.164005866311498</v>
      </c>
    </row>
    <row r="47" spans="1:2" x14ac:dyDescent="0.25">
      <c r="A47" s="9">
        <v>42415</v>
      </c>
      <c r="B47">
        <v>72.216885897201905</v>
      </c>
    </row>
    <row r="48" spans="1:2" x14ac:dyDescent="0.25">
      <c r="A48" s="9">
        <v>42416</v>
      </c>
      <c r="B48">
        <v>72.272149069260394</v>
      </c>
    </row>
    <row r="49" spans="1:2" x14ac:dyDescent="0.25">
      <c r="A49" s="9">
        <v>42417</v>
      </c>
      <c r="B49">
        <v>72.319934403999497</v>
      </c>
    </row>
    <row r="50" spans="1:2" x14ac:dyDescent="0.25">
      <c r="A50" s="9">
        <v>42418</v>
      </c>
      <c r="B50">
        <v>72.369989210097302</v>
      </c>
    </row>
    <row r="51" spans="1:2" x14ac:dyDescent="0.25">
      <c r="A51" s="9">
        <v>42419</v>
      </c>
      <c r="B51">
        <v>72.422744819607502</v>
      </c>
    </row>
    <row r="52" spans="1:2" x14ac:dyDescent="0.25">
      <c r="A52" s="9">
        <v>42420</v>
      </c>
      <c r="B52">
        <v>72.477228284358503</v>
      </c>
    </row>
    <row r="53" spans="1:2" x14ac:dyDescent="0.25">
      <c r="A53" s="9">
        <v>42421</v>
      </c>
      <c r="B53">
        <v>72.529994448403798</v>
      </c>
    </row>
    <row r="54" spans="1:2" x14ac:dyDescent="0.25">
      <c r="A54" s="9">
        <v>42422</v>
      </c>
      <c r="B54">
        <v>72.585616931571593</v>
      </c>
    </row>
    <row r="55" spans="1:2" x14ac:dyDescent="0.25">
      <c r="A55" s="9">
        <v>42423</v>
      </c>
      <c r="B55">
        <v>72.630679323106094</v>
      </c>
    </row>
    <row r="56" spans="1:2" x14ac:dyDescent="0.25">
      <c r="A56" s="9">
        <v>42424</v>
      </c>
      <c r="B56">
        <v>72.6828899843768</v>
      </c>
    </row>
    <row r="57" spans="1:2" x14ac:dyDescent="0.25">
      <c r="A57" s="9">
        <v>42425</v>
      </c>
      <c r="B57">
        <v>72.735586657089996</v>
      </c>
    </row>
    <row r="58" spans="1:2" x14ac:dyDescent="0.25">
      <c r="A58" s="9">
        <v>42426</v>
      </c>
      <c r="B58">
        <v>72.782638593800399</v>
      </c>
    </row>
    <row r="59" spans="1:2" x14ac:dyDescent="0.25">
      <c r="A59" s="9">
        <v>42427</v>
      </c>
      <c r="B59">
        <v>72.832181960254104</v>
      </c>
    </row>
    <row r="60" spans="1:2" x14ac:dyDescent="0.25">
      <c r="A60" s="9">
        <v>42428</v>
      </c>
      <c r="B60">
        <v>72.876369847804199</v>
      </c>
    </row>
    <row r="61" spans="1:2" x14ac:dyDescent="0.25">
      <c r="A61" s="9">
        <v>42429</v>
      </c>
      <c r="B61">
        <v>72.923306796016305</v>
      </c>
    </row>
    <row r="62" spans="1:2" x14ac:dyDescent="0.25">
      <c r="A62" s="9">
        <v>42430</v>
      </c>
      <c r="B62">
        <v>72.972946602444495</v>
      </c>
    </row>
    <row r="63" spans="1:2" x14ac:dyDescent="0.25">
      <c r="A63" s="9">
        <v>42431</v>
      </c>
      <c r="B63">
        <v>73.016968032248698</v>
      </c>
    </row>
    <row r="64" spans="1:2" x14ac:dyDescent="0.25">
      <c r="A64" s="9">
        <v>42432</v>
      </c>
      <c r="B64">
        <v>73.065241050280505</v>
      </c>
    </row>
    <row r="65" spans="1:2" x14ac:dyDescent="0.25">
      <c r="A65" s="9">
        <v>42433</v>
      </c>
      <c r="B65">
        <v>73.123621849687297</v>
      </c>
    </row>
    <row r="66" spans="1:2" x14ac:dyDescent="0.25">
      <c r="A66" s="9">
        <v>42434</v>
      </c>
      <c r="B66">
        <v>73.1717584949117</v>
      </c>
    </row>
    <row r="67" spans="1:2" x14ac:dyDescent="0.25">
      <c r="A67" s="9">
        <v>42435</v>
      </c>
      <c r="B67">
        <v>73.224314349761102</v>
      </c>
    </row>
    <row r="68" spans="1:2" x14ac:dyDescent="0.25">
      <c r="A68" s="9">
        <v>42436</v>
      </c>
      <c r="B68">
        <v>73.276280483328406</v>
      </c>
    </row>
    <row r="69" spans="1:2" x14ac:dyDescent="0.25">
      <c r="A69" s="9">
        <v>42437</v>
      </c>
      <c r="B69">
        <v>73.329169758151295</v>
      </c>
    </row>
    <row r="70" spans="1:2" x14ac:dyDescent="0.25">
      <c r="A70" s="9">
        <v>42438</v>
      </c>
      <c r="B70">
        <v>73.381442155011001</v>
      </c>
    </row>
    <row r="71" spans="1:2" x14ac:dyDescent="0.25">
      <c r="A71" s="9">
        <v>42439</v>
      </c>
      <c r="B71">
        <v>73.429804992669304</v>
      </c>
    </row>
    <row r="72" spans="1:2" x14ac:dyDescent="0.25">
      <c r="A72" s="9">
        <v>42440</v>
      </c>
      <c r="B72">
        <v>73.476089931998899</v>
      </c>
    </row>
    <row r="73" spans="1:2" x14ac:dyDescent="0.25">
      <c r="A73" s="9">
        <v>42441</v>
      </c>
      <c r="B73">
        <v>73.527259730022294</v>
      </c>
    </row>
    <row r="74" spans="1:2" x14ac:dyDescent="0.25">
      <c r="A74" s="9">
        <v>42442</v>
      </c>
      <c r="B74">
        <v>73.573797748507005</v>
      </c>
    </row>
    <row r="75" spans="1:2" x14ac:dyDescent="0.25">
      <c r="A75" s="9">
        <v>42443</v>
      </c>
      <c r="B75">
        <v>73.620362618703496</v>
      </c>
    </row>
    <row r="76" spans="1:2" x14ac:dyDescent="0.25">
      <c r="A76" s="9">
        <v>42444</v>
      </c>
      <c r="B76">
        <v>73.673827022220294</v>
      </c>
    </row>
    <row r="77" spans="1:2" x14ac:dyDescent="0.25">
      <c r="A77" s="9">
        <v>42445</v>
      </c>
      <c r="B77">
        <v>73.7247923689538</v>
      </c>
    </row>
    <row r="78" spans="1:2" x14ac:dyDescent="0.25">
      <c r="A78" s="9">
        <v>42446</v>
      </c>
      <c r="B78">
        <v>73.775399602004995</v>
      </c>
    </row>
    <row r="79" spans="1:2" x14ac:dyDescent="0.25">
      <c r="A79" s="9">
        <v>42447</v>
      </c>
      <c r="B79">
        <v>73.827436429867703</v>
      </c>
    </row>
    <row r="80" spans="1:2" x14ac:dyDescent="0.25">
      <c r="A80" s="9">
        <v>42448</v>
      </c>
      <c r="B80">
        <v>73.875594810528597</v>
      </c>
    </row>
    <row r="81" spans="1:2" x14ac:dyDescent="0.25">
      <c r="A81" s="9">
        <v>42449</v>
      </c>
      <c r="B81">
        <v>73.922574272283896</v>
      </c>
    </row>
    <row r="82" spans="1:2" x14ac:dyDescent="0.25">
      <c r="A82" s="9">
        <v>42450</v>
      </c>
      <c r="B82">
        <v>73.969289167744606</v>
      </c>
    </row>
    <row r="83" spans="1:2" x14ac:dyDescent="0.25">
      <c r="A83" s="9">
        <v>42451</v>
      </c>
      <c r="B83">
        <v>74.016034037952707</v>
      </c>
    </row>
    <row r="84" spans="1:2" x14ac:dyDescent="0.25">
      <c r="A84" s="9">
        <v>42452</v>
      </c>
      <c r="B84">
        <v>74.068459270603896</v>
      </c>
    </row>
    <row r="85" spans="1:2" x14ac:dyDescent="0.25">
      <c r="A85" s="9">
        <v>42453</v>
      </c>
      <c r="B85">
        <v>74.117041644227498</v>
      </c>
    </row>
    <row r="86" spans="1:2" x14ac:dyDescent="0.25">
      <c r="A86" s="9">
        <v>42454</v>
      </c>
      <c r="B86">
        <v>74.1655325951386</v>
      </c>
    </row>
    <row r="87" spans="1:2" x14ac:dyDescent="0.25">
      <c r="A87" s="9">
        <v>42455</v>
      </c>
      <c r="B87">
        <v>74.212156896226602</v>
      </c>
    </row>
    <row r="88" spans="1:2" x14ac:dyDescent="0.25">
      <c r="A88" s="9">
        <v>42456</v>
      </c>
      <c r="B88">
        <v>74.264064424151698</v>
      </c>
    </row>
    <row r="89" spans="1:2" x14ac:dyDescent="0.25">
      <c r="A89" s="9">
        <v>42457</v>
      </c>
      <c r="B89">
        <v>74.3127910847697</v>
      </c>
    </row>
    <row r="90" spans="1:2" x14ac:dyDescent="0.25">
      <c r="A90" s="9">
        <v>42458</v>
      </c>
      <c r="B90">
        <v>74.362042949068197</v>
      </c>
    </row>
    <row r="91" spans="1:2" x14ac:dyDescent="0.25">
      <c r="A91" s="9">
        <v>42459</v>
      </c>
      <c r="B91">
        <v>74.4171745054864</v>
      </c>
    </row>
    <row r="92" spans="1:2" x14ac:dyDescent="0.25">
      <c r="A92" s="9">
        <v>42460</v>
      </c>
      <c r="B92">
        <v>74.471083240489193</v>
      </c>
    </row>
    <row r="93" spans="1:2" x14ac:dyDescent="0.25">
      <c r="A93" s="9">
        <v>42461</v>
      </c>
      <c r="B93">
        <v>74.528329795349507</v>
      </c>
    </row>
    <row r="94" spans="1:2" x14ac:dyDescent="0.25">
      <c r="A94" s="9">
        <v>42462</v>
      </c>
      <c r="B94">
        <v>74.576247452769493</v>
      </c>
    </row>
    <row r="95" spans="1:2" x14ac:dyDescent="0.25">
      <c r="A95" s="9">
        <v>42463</v>
      </c>
      <c r="B95">
        <v>74.629461539972496</v>
      </c>
    </row>
    <row r="96" spans="1:2" x14ac:dyDescent="0.25">
      <c r="A96" s="9">
        <v>42464</v>
      </c>
      <c r="B96">
        <v>74.673776162105099</v>
      </c>
    </row>
    <row r="97" spans="1:2" x14ac:dyDescent="0.25">
      <c r="A97" s="9">
        <v>42465</v>
      </c>
      <c r="B97">
        <v>74.729764526489603</v>
      </c>
    </row>
    <row r="98" spans="1:2" x14ac:dyDescent="0.25">
      <c r="A98" s="9">
        <v>42466</v>
      </c>
      <c r="B98">
        <v>74.779578871457403</v>
      </c>
    </row>
    <row r="99" spans="1:2" x14ac:dyDescent="0.25">
      <c r="A99" s="9">
        <v>42467</v>
      </c>
      <c r="B99">
        <v>74.8359765596297</v>
      </c>
    </row>
    <row r="100" spans="1:2" x14ac:dyDescent="0.25">
      <c r="A100" s="9">
        <v>42468</v>
      </c>
      <c r="B100">
        <v>74.891565044147498</v>
      </c>
    </row>
    <row r="101" spans="1:2" x14ac:dyDescent="0.25">
      <c r="A101" s="9">
        <v>42469</v>
      </c>
      <c r="B101">
        <v>74.941052224370793</v>
      </c>
    </row>
    <row r="102" spans="1:2" x14ac:dyDescent="0.25">
      <c r="A102" s="9">
        <v>42470</v>
      </c>
      <c r="B102">
        <v>74.993653251970798</v>
      </c>
    </row>
    <row r="103" spans="1:2" x14ac:dyDescent="0.25">
      <c r="A103" s="9">
        <v>42471</v>
      </c>
      <c r="B103">
        <v>75.042388719538707</v>
      </c>
    </row>
    <row r="104" spans="1:2" x14ac:dyDescent="0.25">
      <c r="A104" s="9">
        <v>42472</v>
      </c>
      <c r="B104">
        <v>75.0961905917368</v>
      </c>
    </row>
    <row r="105" spans="1:2" x14ac:dyDescent="0.25">
      <c r="A105" s="9">
        <v>42473</v>
      </c>
      <c r="B105">
        <v>75.141389575515603</v>
      </c>
    </row>
    <row r="106" spans="1:2" x14ac:dyDescent="0.25">
      <c r="A106" s="9">
        <v>42474</v>
      </c>
      <c r="B106">
        <v>75.192627724400793</v>
      </c>
    </row>
    <row r="107" spans="1:2" x14ac:dyDescent="0.25">
      <c r="A107" s="9">
        <v>42475</v>
      </c>
      <c r="B107">
        <v>75.241489513453104</v>
      </c>
    </row>
    <row r="108" spans="1:2" x14ac:dyDescent="0.25">
      <c r="A108" s="9">
        <v>42476</v>
      </c>
      <c r="B108">
        <v>75.291596911385795</v>
      </c>
    </row>
    <row r="109" spans="1:2" x14ac:dyDescent="0.25">
      <c r="A109" s="9">
        <v>42477</v>
      </c>
      <c r="B109">
        <v>75.348922950030897</v>
      </c>
    </row>
    <row r="110" spans="1:2" x14ac:dyDescent="0.25">
      <c r="A110" s="9">
        <v>42478</v>
      </c>
      <c r="B110">
        <v>75.397110517599202</v>
      </c>
    </row>
    <row r="111" spans="1:2" x14ac:dyDescent="0.25">
      <c r="A111" s="9">
        <v>42479</v>
      </c>
      <c r="B111">
        <v>75.450765092216002</v>
      </c>
    </row>
    <row r="112" spans="1:2" x14ac:dyDescent="0.25">
      <c r="A112" s="9">
        <v>42480</v>
      </c>
      <c r="B112">
        <v>75.5061828727912</v>
      </c>
    </row>
    <row r="113" spans="1:2" x14ac:dyDescent="0.25">
      <c r="A113" s="9">
        <v>42481</v>
      </c>
      <c r="B113">
        <v>75.556937436065496</v>
      </c>
    </row>
    <row r="114" spans="1:2" x14ac:dyDescent="0.25">
      <c r="A114" s="9">
        <v>42482</v>
      </c>
      <c r="B114">
        <v>75.607621680524304</v>
      </c>
    </row>
    <row r="115" spans="1:2" x14ac:dyDescent="0.25">
      <c r="A115" s="9">
        <v>42483</v>
      </c>
      <c r="B115">
        <v>75.653691570789107</v>
      </c>
    </row>
    <row r="116" spans="1:2" x14ac:dyDescent="0.25">
      <c r="A116" s="9">
        <v>42484</v>
      </c>
      <c r="B116">
        <v>75.708859825993102</v>
      </c>
    </row>
    <row r="117" spans="1:2" x14ac:dyDescent="0.25">
      <c r="A117" s="9">
        <v>42485</v>
      </c>
      <c r="B117">
        <v>75.754114766769803</v>
      </c>
    </row>
    <row r="118" spans="1:2" x14ac:dyDescent="0.25">
      <c r="A118" s="9">
        <v>42486</v>
      </c>
      <c r="B118">
        <v>75.800108616741099</v>
      </c>
    </row>
    <row r="119" spans="1:2" x14ac:dyDescent="0.25">
      <c r="A119" s="9">
        <v>42487</v>
      </c>
      <c r="B119">
        <v>75.855228104784203</v>
      </c>
    </row>
    <row r="120" spans="1:2" x14ac:dyDescent="0.25">
      <c r="A120" s="9">
        <v>42488</v>
      </c>
      <c r="B120">
        <v>75.911640201486307</v>
      </c>
    </row>
    <row r="121" spans="1:2" x14ac:dyDescent="0.25">
      <c r="A121" s="9">
        <v>42489</v>
      </c>
      <c r="B121">
        <v>75.962561770152703</v>
      </c>
    </row>
    <row r="122" spans="1:2" x14ac:dyDescent="0.25">
      <c r="A122" s="9">
        <v>42490</v>
      </c>
      <c r="B122">
        <v>76.019572679330494</v>
      </c>
    </row>
    <row r="123" spans="1:2" x14ac:dyDescent="0.25">
      <c r="A123" s="9">
        <v>42491</v>
      </c>
      <c r="B123">
        <v>76.072259383050294</v>
      </c>
    </row>
    <row r="124" spans="1:2" x14ac:dyDescent="0.25">
      <c r="A124" s="9">
        <v>42492</v>
      </c>
      <c r="B124">
        <v>76.125576228934904</v>
      </c>
    </row>
    <row r="125" spans="1:2" x14ac:dyDescent="0.25">
      <c r="A125" s="9">
        <v>42493</v>
      </c>
      <c r="B125">
        <v>76.171119343079496</v>
      </c>
    </row>
    <row r="126" spans="1:2" x14ac:dyDescent="0.25">
      <c r="A126" s="9">
        <v>42494</v>
      </c>
      <c r="B126">
        <v>76.222321229931595</v>
      </c>
    </row>
    <row r="127" spans="1:2" x14ac:dyDescent="0.25">
      <c r="A127" s="9">
        <v>42495</v>
      </c>
      <c r="B127">
        <v>76.269717229033702</v>
      </c>
    </row>
    <row r="128" spans="1:2" x14ac:dyDescent="0.25">
      <c r="A128" s="9">
        <v>42496</v>
      </c>
      <c r="B128">
        <v>76.327538483044194</v>
      </c>
    </row>
    <row r="129" spans="1:2" x14ac:dyDescent="0.25">
      <c r="A129" s="9">
        <v>42497</v>
      </c>
      <c r="B129">
        <v>76.374573031482598</v>
      </c>
    </row>
    <row r="130" spans="1:2" x14ac:dyDescent="0.25">
      <c r="A130" s="9">
        <v>42498</v>
      </c>
      <c r="B130">
        <v>76.427802119301006</v>
      </c>
    </row>
    <row r="131" spans="1:2" x14ac:dyDescent="0.25">
      <c r="A131" s="9">
        <v>42499</v>
      </c>
      <c r="B131">
        <v>76.475964612475593</v>
      </c>
    </row>
    <row r="132" spans="1:2" x14ac:dyDescent="0.25">
      <c r="A132" s="9">
        <v>42500</v>
      </c>
      <c r="B132">
        <v>76.536614006003404</v>
      </c>
    </row>
    <row r="133" spans="1:2" x14ac:dyDescent="0.25">
      <c r="A133" s="9">
        <v>42501</v>
      </c>
      <c r="B133">
        <v>76.592523747179598</v>
      </c>
    </row>
    <row r="134" spans="1:2" x14ac:dyDescent="0.25">
      <c r="A134" s="9">
        <v>42502</v>
      </c>
      <c r="B134">
        <v>76.645974605940296</v>
      </c>
    </row>
    <row r="135" spans="1:2" x14ac:dyDescent="0.25">
      <c r="A135" s="9">
        <v>42503</v>
      </c>
      <c r="B135">
        <v>76.701337282497605</v>
      </c>
    </row>
    <row r="136" spans="1:2" x14ac:dyDescent="0.25">
      <c r="A136" s="9">
        <v>42504</v>
      </c>
      <c r="B136">
        <v>76.750372743342595</v>
      </c>
    </row>
    <row r="137" spans="1:2" x14ac:dyDescent="0.25">
      <c r="A137" s="9">
        <v>42505</v>
      </c>
      <c r="B137">
        <v>76.7994737546327</v>
      </c>
    </row>
    <row r="138" spans="1:2" x14ac:dyDescent="0.25">
      <c r="A138" s="9">
        <v>42506</v>
      </c>
      <c r="B138">
        <v>76.851136813939803</v>
      </c>
    </row>
    <row r="139" spans="1:2" x14ac:dyDescent="0.25">
      <c r="A139" s="9">
        <v>42507</v>
      </c>
      <c r="B139">
        <v>76.904176208725204</v>
      </c>
    </row>
    <row r="140" spans="1:2" x14ac:dyDescent="0.25">
      <c r="A140" s="9">
        <v>42508</v>
      </c>
      <c r="B140">
        <v>76.959833447985702</v>
      </c>
    </row>
    <row r="141" spans="1:2" x14ac:dyDescent="0.25">
      <c r="A141" s="9">
        <v>42509</v>
      </c>
      <c r="B141">
        <v>77.012129252164598</v>
      </c>
    </row>
    <row r="142" spans="1:2" x14ac:dyDescent="0.25">
      <c r="A142" s="9">
        <v>42510</v>
      </c>
      <c r="B142">
        <v>77.063225887207096</v>
      </c>
    </row>
    <row r="143" spans="1:2" x14ac:dyDescent="0.25">
      <c r="A143" s="9">
        <v>42511</v>
      </c>
      <c r="B143">
        <v>77.114470997811097</v>
      </c>
    </row>
    <row r="144" spans="1:2" x14ac:dyDescent="0.25">
      <c r="A144" s="9">
        <v>42512</v>
      </c>
      <c r="B144">
        <v>77.167836341778894</v>
      </c>
    </row>
    <row r="145" spans="1:2" x14ac:dyDescent="0.25">
      <c r="A145" s="9">
        <v>42513</v>
      </c>
      <c r="B145">
        <v>77.221478836036894</v>
      </c>
    </row>
    <row r="146" spans="1:2" x14ac:dyDescent="0.25">
      <c r="A146" s="9">
        <v>42514</v>
      </c>
      <c r="B146">
        <v>77.278260785511605</v>
      </c>
    </row>
    <row r="147" spans="1:2" x14ac:dyDescent="0.25">
      <c r="A147" s="9">
        <v>42515</v>
      </c>
      <c r="B147">
        <v>77.331440540053094</v>
      </c>
    </row>
    <row r="148" spans="1:2" x14ac:dyDescent="0.25">
      <c r="A148" s="9">
        <v>42516</v>
      </c>
      <c r="B148">
        <v>77.381132927039502</v>
      </c>
    </row>
    <row r="149" spans="1:2" x14ac:dyDescent="0.25">
      <c r="A149" s="9">
        <v>42517</v>
      </c>
      <c r="B149">
        <v>77.433597601678599</v>
      </c>
    </row>
    <row r="150" spans="1:2" x14ac:dyDescent="0.25">
      <c r="A150" s="9">
        <v>42518</v>
      </c>
      <c r="B150">
        <v>77.487958510575595</v>
      </c>
    </row>
    <row r="151" spans="1:2" x14ac:dyDescent="0.25">
      <c r="A151" s="9">
        <v>42519</v>
      </c>
      <c r="B151">
        <v>77.538657960797707</v>
      </c>
    </row>
    <row r="152" spans="1:2" x14ac:dyDescent="0.25">
      <c r="A152" s="9">
        <v>42520</v>
      </c>
      <c r="B152">
        <v>77.599238783823196</v>
      </c>
    </row>
    <row r="153" spans="1:2" x14ac:dyDescent="0.25">
      <c r="A153" s="9">
        <v>42521</v>
      </c>
      <c r="B153">
        <v>77.649580257937899</v>
      </c>
    </row>
    <row r="154" spans="1:2" x14ac:dyDescent="0.25">
      <c r="A154" s="9">
        <v>42522</v>
      </c>
      <c r="B154">
        <v>77.706812722681704</v>
      </c>
    </row>
    <row r="155" spans="1:2" x14ac:dyDescent="0.25">
      <c r="A155" s="9">
        <v>42523</v>
      </c>
      <c r="B155">
        <v>77.758559262728795</v>
      </c>
    </row>
    <row r="156" spans="1:2" x14ac:dyDescent="0.25">
      <c r="A156" s="9">
        <v>42524</v>
      </c>
      <c r="B156">
        <v>77.813843521490298</v>
      </c>
    </row>
    <row r="157" spans="1:2" x14ac:dyDescent="0.25">
      <c r="A157" s="9">
        <v>42525</v>
      </c>
      <c r="B157">
        <v>77.868807660644904</v>
      </c>
    </row>
    <row r="158" spans="1:2" x14ac:dyDescent="0.25">
      <c r="A158" s="9">
        <v>42526</v>
      </c>
      <c r="B158">
        <v>77.920700740403305</v>
      </c>
    </row>
    <row r="159" spans="1:2" x14ac:dyDescent="0.25">
      <c r="A159" s="9">
        <v>42527</v>
      </c>
      <c r="B159">
        <v>77.973422346043506</v>
      </c>
    </row>
    <row r="160" spans="1:2" x14ac:dyDescent="0.25">
      <c r="A160" s="9">
        <v>42528</v>
      </c>
      <c r="B160">
        <v>78.027681326969798</v>
      </c>
    </row>
    <row r="161" spans="1:2" x14ac:dyDescent="0.25">
      <c r="A161" s="9">
        <v>42529</v>
      </c>
      <c r="B161">
        <v>78.082884072379898</v>
      </c>
    </row>
    <row r="162" spans="1:2" x14ac:dyDescent="0.25">
      <c r="A162" s="9">
        <v>42530</v>
      </c>
      <c r="B162">
        <v>78.134854797184204</v>
      </c>
    </row>
    <row r="163" spans="1:2" x14ac:dyDescent="0.25">
      <c r="A163" s="9">
        <v>42531</v>
      </c>
      <c r="B163">
        <v>78.189177252691493</v>
      </c>
    </row>
    <row r="164" spans="1:2" x14ac:dyDescent="0.25">
      <c r="A164" s="9">
        <v>42532</v>
      </c>
      <c r="B164">
        <v>78.242900608208103</v>
      </c>
    </row>
    <row r="165" spans="1:2" x14ac:dyDescent="0.25">
      <c r="A165" s="9">
        <v>42533</v>
      </c>
      <c r="B165">
        <v>78.292889880010705</v>
      </c>
    </row>
    <row r="166" spans="1:2" x14ac:dyDescent="0.25">
      <c r="A166" s="9">
        <v>42534</v>
      </c>
      <c r="B166">
        <v>78.343848184240798</v>
      </c>
    </row>
    <row r="167" spans="1:2" x14ac:dyDescent="0.25">
      <c r="A167" s="9">
        <v>42535</v>
      </c>
      <c r="B167">
        <v>78.395720349036907</v>
      </c>
    </row>
    <row r="168" spans="1:2" x14ac:dyDescent="0.25">
      <c r="A168" s="9">
        <v>42536</v>
      </c>
      <c r="B168">
        <v>78.449566715966697</v>
      </c>
    </row>
    <row r="169" spans="1:2" x14ac:dyDescent="0.25">
      <c r="A169" s="9">
        <v>42537</v>
      </c>
      <c r="B169">
        <v>78.495951939192395</v>
      </c>
    </row>
    <row r="170" spans="1:2" x14ac:dyDescent="0.25">
      <c r="A170" s="9">
        <v>42538</v>
      </c>
      <c r="B170">
        <v>78.549925987192196</v>
      </c>
    </row>
    <row r="171" spans="1:2" x14ac:dyDescent="0.25">
      <c r="A171" s="9">
        <v>42539</v>
      </c>
      <c r="B171">
        <v>78.601834990262603</v>
      </c>
    </row>
    <row r="172" spans="1:2" x14ac:dyDescent="0.25">
      <c r="A172" s="9">
        <v>42540</v>
      </c>
      <c r="B172">
        <v>78.647256879914096</v>
      </c>
    </row>
    <row r="173" spans="1:2" x14ac:dyDescent="0.25">
      <c r="A173" s="9">
        <v>42541</v>
      </c>
      <c r="B173">
        <v>78.702013531652696</v>
      </c>
    </row>
    <row r="174" spans="1:2" x14ac:dyDescent="0.25">
      <c r="A174" s="9">
        <v>42542</v>
      </c>
      <c r="B174">
        <v>78.760666355792296</v>
      </c>
    </row>
    <row r="175" spans="1:2" x14ac:dyDescent="0.25">
      <c r="A175" s="9">
        <v>42543</v>
      </c>
      <c r="B175">
        <v>78.818177944142604</v>
      </c>
    </row>
    <row r="176" spans="1:2" x14ac:dyDescent="0.25">
      <c r="A176" s="9">
        <v>42544</v>
      </c>
      <c r="B176">
        <v>78.869915979685999</v>
      </c>
    </row>
    <row r="177" spans="1:2" x14ac:dyDescent="0.25">
      <c r="A177" s="9">
        <v>42545</v>
      </c>
      <c r="B177">
        <v>78.924372248605593</v>
      </c>
    </row>
    <row r="178" spans="1:2" x14ac:dyDescent="0.25">
      <c r="A178" s="9">
        <v>42546</v>
      </c>
      <c r="B178">
        <v>78.9773994865715</v>
      </c>
    </row>
    <row r="179" spans="1:2" x14ac:dyDescent="0.25">
      <c r="A179" s="9">
        <v>42547</v>
      </c>
      <c r="B179">
        <v>79.035570523409703</v>
      </c>
    </row>
    <row r="180" spans="1:2" x14ac:dyDescent="0.25">
      <c r="A180" s="9">
        <v>42548</v>
      </c>
      <c r="B180">
        <v>79.093538986235103</v>
      </c>
    </row>
    <row r="181" spans="1:2" x14ac:dyDescent="0.25">
      <c r="A181" s="9">
        <v>42549</v>
      </c>
      <c r="B181">
        <v>79.147607991049497</v>
      </c>
    </row>
    <row r="182" spans="1:2" x14ac:dyDescent="0.25">
      <c r="A182" s="9">
        <v>42550</v>
      </c>
      <c r="B182">
        <v>79.199263611852203</v>
      </c>
    </row>
    <row r="183" spans="1:2" x14ac:dyDescent="0.25">
      <c r="A183" s="9">
        <v>42551</v>
      </c>
      <c r="B183">
        <v>79.252820343193704</v>
      </c>
    </row>
    <row r="184" spans="1:2" x14ac:dyDescent="0.25">
      <c r="A184" s="9">
        <v>42552</v>
      </c>
      <c r="B184">
        <v>79.304735938560995</v>
      </c>
    </row>
    <row r="185" spans="1:2" x14ac:dyDescent="0.25">
      <c r="A185" s="9">
        <v>42553</v>
      </c>
      <c r="B185">
        <v>79.359683077806096</v>
      </c>
    </row>
    <row r="186" spans="1:2" x14ac:dyDescent="0.25">
      <c r="A186" s="9">
        <v>42554</v>
      </c>
      <c r="B186">
        <v>79.414562555502201</v>
      </c>
    </row>
    <row r="187" spans="1:2" x14ac:dyDescent="0.25">
      <c r="A187" s="9">
        <v>42555</v>
      </c>
      <c r="B187">
        <v>79.466900434084394</v>
      </c>
    </row>
    <row r="188" spans="1:2" x14ac:dyDescent="0.25">
      <c r="A188" s="9">
        <v>42556</v>
      </c>
      <c r="B188">
        <v>79.5209828971051</v>
      </c>
    </row>
    <row r="189" spans="1:2" x14ac:dyDescent="0.25">
      <c r="A189" s="9">
        <v>42557</v>
      </c>
      <c r="B189">
        <v>79.572488023098003</v>
      </c>
    </row>
    <row r="190" spans="1:2" x14ac:dyDescent="0.25">
      <c r="A190" s="9">
        <v>42558</v>
      </c>
      <c r="B190">
        <v>79.627972520707203</v>
      </c>
    </row>
    <row r="191" spans="1:2" x14ac:dyDescent="0.25">
      <c r="A191" s="9">
        <v>42559</v>
      </c>
      <c r="B191">
        <v>79.687423904585401</v>
      </c>
    </row>
    <row r="192" spans="1:2" x14ac:dyDescent="0.25">
      <c r="A192" s="9">
        <v>42560</v>
      </c>
      <c r="B192">
        <v>79.738496836447993</v>
      </c>
    </row>
    <row r="193" spans="1:2" x14ac:dyDescent="0.25">
      <c r="A193" s="9">
        <v>42561</v>
      </c>
      <c r="B193">
        <v>79.793669646938994</v>
      </c>
    </row>
    <row r="194" spans="1:2" x14ac:dyDescent="0.25">
      <c r="A194" s="9">
        <v>42562</v>
      </c>
      <c r="B194">
        <v>79.847369184411306</v>
      </c>
    </row>
    <row r="195" spans="1:2" x14ac:dyDescent="0.25">
      <c r="A195" s="9">
        <v>42563</v>
      </c>
      <c r="B195">
        <v>79.902326211634801</v>
      </c>
    </row>
    <row r="196" spans="1:2" x14ac:dyDescent="0.25">
      <c r="A196" s="9">
        <v>42564</v>
      </c>
      <c r="B196">
        <v>79.955645659591497</v>
      </c>
    </row>
    <row r="197" spans="1:2" x14ac:dyDescent="0.25">
      <c r="A197" s="9">
        <v>42565</v>
      </c>
      <c r="B197">
        <v>80.0028146965453</v>
      </c>
    </row>
    <row r="198" spans="1:2" x14ac:dyDescent="0.25">
      <c r="A198" s="9">
        <v>42566</v>
      </c>
      <c r="B198">
        <v>80.061818551118506</v>
      </c>
    </row>
    <row r="199" spans="1:2" x14ac:dyDescent="0.25">
      <c r="A199" s="9">
        <v>42567</v>
      </c>
      <c r="B199">
        <v>80.114303901213702</v>
      </c>
    </row>
    <row r="200" spans="1:2" x14ac:dyDescent="0.25">
      <c r="A200" s="9">
        <v>42568</v>
      </c>
      <c r="B200">
        <v>80.170189934386002</v>
      </c>
    </row>
    <row r="201" spans="1:2" x14ac:dyDescent="0.25">
      <c r="A201" s="9">
        <v>42569</v>
      </c>
      <c r="B201">
        <v>80.227825151791606</v>
      </c>
    </row>
    <row r="202" spans="1:2" x14ac:dyDescent="0.25">
      <c r="A202" s="9">
        <v>42570</v>
      </c>
      <c r="B202">
        <v>80.283975057021607</v>
      </c>
    </row>
    <row r="203" spans="1:2" x14ac:dyDescent="0.25">
      <c r="A203" s="9">
        <v>42571</v>
      </c>
      <c r="B203">
        <v>80.336545732608698</v>
      </c>
    </row>
    <row r="204" spans="1:2" x14ac:dyDescent="0.25">
      <c r="A204" s="9">
        <v>42572</v>
      </c>
      <c r="B204">
        <v>80.388504717778204</v>
      </c>
    </row>
    <row r="205" spans="1:2" x14ac:dyDescent="0.25">
      <c r="A205" s="9">
        <v>42573</v>
      </c>
      <c r="B205">
        <v>80.448072175042398</v>
      </c>
    </row>
    <row r="206" spans="1:2" x14ac:dyDescent="0.25">
      <c r="A206" s="9">
        <v>42574</v>
      </c>
      <c r="B206">
        <v>80.505047463638206</v>
      </c>
    </row>
    <row r="207" spans="1:2" x14ac:dyDescent="0.25">
      <c r="A207" s="9">
        <v>42575</v>
      </c>
      <c r="B207">
        <v>80.563334014018807</v>
      </c>
    </row>
    <row r="208" spans="1:2" x14ac:dyDescent="0.25">
      <c r="A208" s="9">
        <v>42576</v>
      </c>
      <c r="B208">
        <v>80.621970604096802</v>
      </c>
    </row>
    <row r="209" spans="1:2" x14ac:dyDescent="0.25">
      <c r="A209" s="9">
        <v>42577</v>
      </c>
      <c r="B209">
        <v>80.682649699936903</v>
      </c>
    </row>
    <row r="210" spans="1:2" x14ac:dyDescent="0.25">
      <c r="A210" s="9">
        <v>42578</v>
      </c>
      <c r="B210">
        <v>80.735591677826704</v>
      </c>
    </row>
    <row r="211" spans="1:2" x14ac:dyDescent="0.25">
      <c r="A211" s="9">
        <v>42579</v>
      </c>
      <c r="B211">
        <v>80.785930262606499</v>
      </c>
    </row>
    <row r="212" spans="1:2" x14ac:dyDescent="0.25">
      <c r="A212" s="9">
        <v>42580</v>
      </c>
      <c r="B212">
        <v>80.847494255913503</v>
      </c>
    </row>
    <row r="213" spans="1:2" x14ac:dyDescent="0.25">
      <c r="A213" s="9">
        <v>42581</v>
      </c>
      <c r="B213">
        <v>80.900831784913706</v>
      </c>
    </row>
    <row r="214" spans="1:2" x14ac:dyDescent="0.25">
      <c r="A214" s="9">
        <v>42582</v>
      </c>
      <c r="B214">
        <v>80.9535030279484</v>
      </c>
    </row>
    <row r="215" spans="1:2" x14ac:dyDescent="0.25">
      <c r="A215" s="9">
        <v>42583</v>
      </c>
      <c r="B215">
        <v>81.009454545995695</v>
      </c>
    </row>
    <row r="216" spans="1:2" x14ac:dyDescent="0.25">
      <c r="A216" s="9">
        <v>42584</v>
      </c>
      <c r="B216">
        <v>81.069328328765593</v>
      </c>
    </row>
    <row r="217" spans="1:2" x14ac:dyDescent="0.25">
      <c r="A217" s="9">
        <v>42585</v>
      </c>
      <c r="B217">
        <v>81.126180400143397</v>
      </c>
    </row>
    <row r="218" spans="1:2" x14ac:dyDescent="0.25">
      <c r="A218" s="9">
        <v>42586</v>
      </c>
      <c r="B218">
        <v>81.186432644349097</v>
      </c>
    </row>
    <row r="219" spans="1:2" x14ac:dyDescent="0.25">
      <c r="A219" s="9">
        <v>42587</v>
      </c>
      <c r="B219">
        <v>81.236745355626795</v>
      </c>
    </row>
    <row r="220" spans="1:2" x14ac:dyDescent="0.25">
      <c r="A220" s="9">
        <v>42588</v>
      </c>
      <c r="B220">
        <v>81.294940726199997</v>
      </c>
    </row>
    <row r="221" spans="1:2" x14ac:dyDescent="0.25">
      <c r="A221" s="9">
        <v>42589</v>
      </c>
      <c r="B221">
        <v>81.351915331176599</v>
      </c>
    </row>
    <row r="222" spans="1:2" x14ac:dyDescent="0.25">
      <c r="A222" s="9">
        <v>42590</v>
      </c>
      <c r="B222">
        <v>81.410686366658297</v>
      </c>
    </row>
    <row r="223" spans="1:2" x14ac:dyDescent="0.25">
      <c r="A223" s="9">
        <v>42591</v>
      </c>
      <c r="B223">
        <v>81.468217732424705</v>
      </c>
    </row>
    <row r="224" spans="1:2" x14ac:dyDescent="0.25">
      <c r="A224" s="9">
        <v>42592</v>
      </c>
      <c r="B224">
        <v>81.521052951025695</v>
      </c>
    </row>
    <row r="225" spans="1:2" x14ac:dyDescent="0.25">
      <c r="A225" s="9">
        <v>42593</v>
      </c>
      <c r="B225">
        <v>81.579002560914702</v>
      </c>
    </row>
    <row r="226" spans="1:2" x14ac:dyDescent="0.25">
      <c r="A226" s="9">
        <v>42594</v>
      </c>
      <c r="B226">
        <v>81.636774490169003</v>
      </c>
    </row>
    <row r="227" spans="1:2" x14ac:dyDescent="0.25">
      <c r="A227" s="9">
        <v>42595</v>
      </c>
      <c r="B227">
        <v>81.698893829006707</v>
      </c>
    </row>
    <row r="228" spans="1:2" x14ac:dyDescent="0.25">
      <c r="A228" s="9">
        <v>42596</v>
      </c>
      <c r="B228">
        <v>81.746216938019401</v>
      </c>
    </row>
    <row r="229" spans="1:2" x14ac:dyDescent="0.25">
      <c r="A229" s="9">
        <v>42597</v>
      </c>
      <c r="B229">
        <v>81.8027219168074</v>
      </c>
    </row>
    <row r="230" spans="1:2" x14ac:dyDescent="0.25">
      <c r="A230" s="9">
        <v>42598</v>
      </c>
      <c r="B230">
        <v>81.862620857534097</v>
      </c>
    </row>
    <row r="231" spans="1:2" x14ac:dyDescent="0.25">
      <c r="A231" s="9">
        <v>42599</v>
      </c>
      <c r="B231">
        <v>81.919640290107097</v>
      </c>
    </row>
    <row r="232" spans="1:2" x14ac:dyDescent="0.25">
      <c r="A232" s="9">
        <v>42600</v>
      </c>
      <c r="B232">
        <v>81.975846944193293</v>
      </c>
    </row>
    <row r="233" spans="1:2" x14ac:dyDescent="0.25">
      <c r="A233" s="9">
        <v>42601</v>
      </c>
      <c r="B233">
        <v>82.030995855802999</v>
      </c>
    </row>
    <row r="234" spans="1:2" x14ac:dyDescent="0.25">
      <c r="A234" s="9">
        <v>42602</v>
      </c>
      <c r="B234">
        <v>82.087861452208102</v>
      </c>
    </row>
    <row r="235" spans="1:2" x14ac:dyDescent="0.25">
      <c r="A235" s="9">
        <v>42603</v>
      </c>
      <c r="B235">
        <v>82.149479151065293</v>
      </c>
    </row>
    <row r="236" spans="1:2" x14ac:dyDescent="0.25">
      <c r="A236" s="9">
        <v>42604</v>
      </c>
      <c r="B236">
        <v>82.207651472796101</v>
      </c>
    </row>
    <row r="237" spans="1:2" x14ac:dyDescent="0.25">
      <c r="A237" s="9">
        <v>42605</v>
      </c>
      <c r="B237">
        <v>82.266340225708305</v>
      </c>
    </row>
    <row r="238" spans="1:2" x14ac:dyDescent="0.25">
      <c r="A238" s="9">
        <v>42606</v>
      </c>
      <c r="B238">
        <v>82.325579625101398</v>
      </c>
    </row>
    <row r="239" spans="1:2" x14ac:dyDescent="0.25">
      <c r="A239" s="9">
        <v>42607</v>
      </c>
      <c r="B239">
        <v>82.382277197603699</v>
      </c>
    </row>
    <row r="240" spans="1:2" x14ac:dyDescent="0.25">
      <c r="A240" s="9">
        <v>42608</v>
      </c>
      <c r="B240">
        <v>82.440603471804195</v>
      </c>
    </row>
    <row r="241" spans="1:2" x14ac:dyDescent="0.25">
      <c r="A241" s="9">
        <v>42609</v>
      </c>
      <c r="B241">
        <v>82.501288477689997</v>
      </c>
    </row>
    <row r="242" spans="1:2" x14ac:dyDescent="0.25">
      <c r="A242" s="9">
        <v>42610</v>
      </c>
      <c r="B242">
        <v>82.554364065147197</v>
      </c>
    </row>
    <row r="243" spans="1:2" x14ac:dyDescent="0.25">
      <c r="A243" s="9">
        <v>42611</v>
      </c>
      <c r="B243">
        <v>82.608911760210901</v>
      </c>
    </row>
    <row r="244" spans="1:2" x14ac:dyDescent="0.25">
      <c r="A244" s="9">
        <v>42612</v>
      </c>
      <c r="B244">
        <v>82.660052697463001</v>
      </c>
    </row>
    <row r="245" spans="1:2" x14ac:dyDescent="0.25">
      <c r="A245" s="9">
        <v>42613</v>
      </c>
      <c r="B245">
        <v>82.715446981910304</v>
      </c>
    </row>
    <row r="246" spans="1:2" x14ac:dyDescent="0.25">
      <c r="A246" s="9">
        <v>42614</v>
      </c>
      <c r="B246">
        <v>82.761433847876702</v>
      </c>
    </row>
    <row r="247" spans="1:2" x14ac:dyDescent="0.25">
      <c r="A247" s="9">
        <v>42615</v>
      </c>
      <c r="B247">
        <v>82.821168357180099</v>
      </c>
    </row>
    <row r="248" spans="1:2" x14ac:dyDescent="0.25">
      <c r="A248" s="9">
        <v>42616</v>
      </c>
      <c r="B248">
        <v>82.882538579403999</v>
      </c>
    </row>
    <row r="249" spans="1:2" x14ac:dyDescent="0.25">
      <c r="A249" s="9">
        <v>42617</v>
      </c>
      <c r="B249">
        <v>82.937990065718097</v>
      </c>
    </row>
    <row r="250" spans="1:2" x14ac:dyDescent="0.25">
      <c r="A250" s="9">
        <v>42618</v>
      </c>
      <c r="B250">
        <v>82.993904632536299</v>
      </c>
    </row>
    <row r="251" spans="1:2" x14ac:dyDescent="0.25">
      <c r="A251" s="9">
        <v>42619</v>
      </c>
      <c r="B251">
        <v>83.051362435673298</v>
      </c>
    </row>
    <row r="252" spans="1:2" x14ac:dyDescent="0.25">
      <c r="A252" s="9">
        <v>42620</v>
      </c>
      <c r="B252">
        <v>83.108633945384</v>
      </c>
    </row>
    <row r="253" spans="1:2" x14ac:dyDescent="0.25">
      <c r="A253" s="9">
        <v>42621</v>
      </c>
      <c r="B253">
        <v>83.160959658921996</v>
      </c>
    </row>
    <row r="254" spans="1:2" x14ac:dyDescent="0.25">
      <c r="A254" s="9">
        <v>42622</v>
      </c>
      <c r="B254">
        <v>83.218877551185997</v>
      </c>
    </row>
    <row r="255" spans="1:2" x14ac:dyDescent="0.25">
      <c r="A255" s="9">
        <v>42623</v>
      </c>
      <c r="B255">
        <v>83.277044433369994</v>
      </c>
    </row>
    <row r="256" spans="1:2" x14ac:dyDescent="0.25">
      <c r="A256" s="9">
        <v>42624</v>
      </c>
      <c r="B256">
        <v>83.335667591996497</v>
      </c>
    </row>
    <row r="257" spans="1:2" x14ac:dyDescent="0.25">
      <c r="A257" s="9">
        <v>42625</v>
      </c>
      <c r="B257">
        <v>83.396503417027205</v>
      </c>
    </row>
    <row r="258" spans="1:2" x14ac:dyDescent="0.25">
      <c r="A258" s="9">
        <v>42626</v>
      </c>
      <c r="B258">
        <v>83.451671844636294</v>
      </c>
    </row>
    <row r="259" spans="1:2" x14ac:dyDescent="0.25">
      <c r="A259" s="9">
        <v>42627</v>
      </c>
      <c r="B259">
        <v>83.512368540009902</v>
      </c>
    </row>
    <row r="260" spans="1:2" x14ac:dyDescent="0.25">
      <c r="A260" s="9">
        <v>42628</v>
      </c>
      <c r="B260">
        <v>83.573946448451807</v>
      </c>
    </row>
    <row r="261" spans="1:2" x14ac:dyDescent="0.25">
      <c r="A261" s="9">
        <v>42629</v>
      </c>
      <c r="B261">
        <v>83.625604293399604</v>
      </c>
    </row>
    <row r="262" spans="1:2" x14ac:dyDescent="0.25">
      <c r="A262" s="9">
        <v>42630</v>
      </c>
      <c r="B262">
        <v>83.680080232831799</v>
      </c>
    </row>
    <row r="263" spans="1:2" x14ac:dyDescent="0.25">
      <c r="A263" s="9">
        <v>42631</v>
      </c>
      <c r="B263">
        <v>83.735124099723294</v>
      </c>
    </row>
    <row r="264" spans="1:2" x14ac:dyDescent="0.25">
      <c r="A264" s="9">
        <v>42632</v>
      </c>
      <c r="B264">
        <v>83.797614164889097</v>
      </c>
    </row>
    <row r="265" spans="1:2" x14ac:dyDescent="0.25">
      <c r="A265" s="9">
        <v>42633</v>
      </c>
      <c r="B265">
        <v>83.858205655744698</v>
      </c>
    </row>
    <row r="266" spans="1:2" x14ac:dyDescent="0.25">
      <c r="A266" s="9">
        <v>42634</v>
      </c>
      <c r="B266">
        <v>83.916239258575203</v>
      </c>
    </row>
    <row r="267" spans="1:2" x14ac:dyDescent="0.25">
      <c r="A267" s="9">
        <v>42635</v>
      </c>
      <c r="B267">
        <v>83.972801532992193</v>
      </c>
    </row>
    <row r="268" spans="1:2" x14ac:dyDescent="0.25">
      <c r="A268" s="9">
        <v>42636</v>
      </c>
      <c r="B268">
        <v>84.026378519937793</v>
      </c>
    </row>
    <row r="269" spans="1:2" x14ac:dyDescent="0.25">
      <c r="A269" s="9">
        <v>42637</v>
      </c>
      <c r="B269">
        <v>84.080674642054902</v>
      </c>
    </row>
    <row r="270" spans="1:2" x14ac:dyDescent="0.25">
      <c r="A270" s="9">
        <v>42638</v>
      </c>
      <c r="B270">
        <v>84.131390006388401</v>
      </c>
    </row>
    <row r="271" spans="1:2" x14ac:dyDescent="0.25">
      <c r="A271" s="9">
        <v>42639</v>
      </c>
      <c r="B271">
        <v>84.191678059014393</v>
      </c>
    </row>
    <row r="272" spans="1:2" x14ac:dyDescent="0.25">
      <c r="A272" s="9">
        <v>42640</v>
      </c>
      <c r="B272">
        <v>84.241946402328907</v>
      </c>
    </row>
    <row r="273" spans="1:2" x14ac:dyDescent="0.25">
      <c r="A273" s="9">
        <v>42641</v>
      </c>
      <c r="B273">
        <v>84.296881428187305</v>
      </c>
    </row>
    <row r="274" spans="1:2" x14ac:dyDescent="0.25">
      <c r="A274" s="9">
        <v>42642</v>
      </c>
      <c r="B274">
        <v>84.348709027518694</v>
      </c>
    </row>
    <row r="275" spans="1:2" x14ac:dyDescent="0.25">
      <c r="A275" s="9">
        <v>42643</v>
      </c>
      <c r="B275">
        <v>84.404453477866497</v>
      </c>
    </row>
    <row r="276" spans="1:2" x14ac:dyDescent="0.25">
      <c r="A276" s="9">
        <v>42644</v>
      </c>
      <c r="B276">
        <v>84.467694229724302</v>
      </c>
    </row>
    <row r="277" spans="1:2" x14ac:dyDescent="0.25">
      <c r="A277" s="9">
        <v>42645</v>
      </c>
      <c r="B277">
        <v>84.524727570451901</v>
      </c>
    </row>
    <row r="278" spans="1:2" x14ac:dyDescent="0.25">
      <c r="A278" s="9">
        <v>42646</v>
      </c>
      <c r="B278">
        <v>84.5878054353294</v>
      </c>
    </row>
    <row r="279" spans="1:2" x14ac:dyDescent="0.25">
      <c r="A279" s="9">
        <v>42647</v>
      </c>
      <c r="B279">
        <v>84.640773459043601</v>
      </c>
    </row>
    <row r="280" spans="1:2" x14ac:dyDescent="0.25">
      <c r="A280" s="9">
        <v>42648</v>
      </c>
      <c r="B280">
        <v>84.7048825931994</v>
      </c>
    </row>
    <row r="281" spans="1:2" x14ac:dyDescent="0.25">
      <c r="A281" s="9">
        <v>42649</v>
      </c>
      <c r="B281">
        <v>84.764038848489193</v>
      </c>
    </row>
    <row r="282" spans="1:2" x14ac:dyDescent="0.25">
      <c r="A282" s="9">
        <v>42650</v>
      </c>
      <c r="B282">
        <v>84.822666656996205</v>
      </c>
    </row>
    <row r="283" spans="1:2" x14ac:dyDescent="0.25">
      <c r="A283" s="9">
        <v>42651</v>
      </c>
      <c r="B283">
        <v>84.876856068856597</v>
      </c>
    </row>
    <row r="284" spans="1:2" x14ac:dyDescent="0.25">
      <c r="A284" s="9">
        <v>42652</v>
      </c>
      <c r="B284">
        <v>84.932298863738197</v>
      </c>
    </row>
    <row r="285" spans="1:2" x14ac:dyDescent="0.25">
      <c r="A285" s="9">
        <v>42653</v>
      </c>
      <c r="B285">
        <v>84.987916398552997</v>
      </c>
    </row>
    <row r="286" spans="1:2" x14ac:dyDescent="0.25">
      <c r="A286" s="9">
        <v>42654</v>
      </c>
      <c r="B286">
        <v>85.050985279772803</v>
      </c>
    </row>
    <row r="287" spans="1:2" x14ac:dyDescent="0.25">
      <c r="A287" s="9">
        <v>42655</v>
      </c>
      <c r="B287">
        <v>85.104477038937404</v>
      </c>
    </row>
    <row r="288" spans="1:2" x14ac:dyDescent="0.25">
      <c r="A288" s="9">
        <v>42656</v>
      </c>
      <c r="B288">
        <v>85.164863833562805</v>
      </c>
    </row>
    <row r="289" spans="1:2" x14ac:dyDescent="0.25">
      <c r="A289" s="9">
        <v>42657</v>
      </c>
      <c r="B289">
        <v>85.220235855330799</v>
      </c>
    </row>
    <row r="290" spans="1:2" x14ac:dyDescent="0.25">
      <c r="A290" s="9">
        <v>42658</v>
      </c>
      <c r="B290">
        <v>85.2787678078776</v>
      </c>
    </row>
    <row r="291" spans="1:2" x14ac:dyDescent="0.25">
      <c r="A291" s="9">
        <v>42659</v>
      </c>
      <c r="B291">
        <v>85.336403434054205</v>
      </c>
    </row>
    <row r="292" spans="1:2" x14ac:dyDescent="0.25">
      <c r="A292" s="9">
        <v>42660</v>
      </c>
      <c r="B292">
        <v>85.399069251315893</v>
      </c>
    </row>
    <row r="293" spans="1:2" x14ac:dyDescent="0.25">
      <c r="A293" s="9">
        <v>42661</v>
      </c>
      <c r="B293">
        <v>85.457308707388094</v>
      </c>
    </row>
    <row r="294" spans="1:2" x14ac:dyDescent="0.25">
      <c r="A294" s="9">
        <v>42662</v>
      </c>
      <c r="B294">
        <v>85.518466453998002</v>
      </c>
    </row>
    <row r="295" spans="1:2" x14ac:dyDescent="0.25">
      <c r="A295" s="9">
        <v>42663</v>
      </c>
      <c r="B295">
        <v>85.575112938454396</v>
      </c>
    </row>
    <row r="296" spans="1:2" x14ac:dyDescent="0.25">
      <c r="A296" s="9">
        <v>42664</v>
      </c>
      <c r="B296">
        <v>85.630619647972097</v>
      </c>
    </row>
    <row r="297" spans="1:2" x14ac:dyDescent="0.25">
      <c r="A297" s="9">
        <v>42665</v>
      </c>
      <c r="B297">
        <v>85.687285673880098</v>
      </c>
    </row>
    <row r="298" spans="1:2" x14ac:dyDescent="0.25">
      <c r="A298" s="9">
        <v>42666</v>
      </c>
      <c r="B298">
        <v>85.746086783907401</v>
      </c>
    </row>
    <row r="299" spans="1:2" x14ac:dyDescent="0.25">
      <c r="A299" s="9">
        <v>42667</v>
      </c>
      <c r="B299">
        <v>85.805368698140896</v>
      </c>
    </row>
    <row r="300" spans="1:2" x14ac:dyDescent="0.25">
      <c r="A300" s="9">
        <v>42668</v>
      </c>
      <c r="B300">
        <v>85.866789622554904</v>
      </c>
    </row>
    <row r="301" spans="1:2" x14ac:dyDescent="0.25">
      <c r="A301" s="9">
        <v>42669</v>
      </c>
      <c r="B301">
        <v>85.923293925616093</v>
      </c>
    </row>
    <row r="302" spans="1:2" x14ac:dyDescent="0.25">
      <c r="A302" s="9">
        <v>42670</v>
      </c>
      <c r="B302">
        <v>85.980662087890295</v>
      </c>
    </row>
    <row r="303" spans="1:2" x14ac:dyDescent="0.25">
      <c r="A303" s="9">
        <v>42671</v>
      </c>
      <c r="B303">
        <v>86.037376443969507</v>
      </c>
    </row>
    <row r="304" spans="1:2" x14ac:dyDescent="0.25">
      <c r="A304" s="9">
        <v>42672</v>
      </c>
      <c r="B304">
        <v>86.096275890697697</v>
      </c>
    </row>
    <row r="305" spans="1:2" x14ac:dyDescent="0.25">
      <c r="A305" s="9">
        <v>42673</v>
      </c>
      <c r="B305">
        <v>86.147746854364499</v>
      </c>
    </row>
    <row r="306" spans="1:2" x14ac:dyDescent="0.25">
      <c r="A306" s="9">
        <v>42674</v>
      </c>
      <c r="B306">
        <v>86.211224669272099</v>
      </c>
    </row>
    <row r="307" spans="1:2" x14ac:dyDescent="0.25">
      <c r="A307" s="9">
        <v>42675</v>
      </c>
      <c r="B307">
        <v>86.266355056193802</v>
      </c>
    </row>
    <row r="308" spans="1:2" x14ac:dyDescent="0.25">
      <c r="A308" s="9">
        <v>42676</v>
      </c>
      <c r="B308">
        <v>86.326640377621004</v>
      </c>
    </row>
    <row r="309" spans="1:2" x14ac:dyDescent="0.25">
      <c r="A309" s="9">
        <v>42677</v>
      </c>
      <c r="B309">
        <v>86.384728981926699</v>
      </c>
    </row>
    <row r="310" spans="1:2" x14ac:dyDescent="0.25">
      <c r="A310" s="9">
        <v>42678</v>
      </c>
      <c r="B310">
        <v>86.439952439701301</v>
      </c>
    </row>
    <row r="311" spans="1:2" x14ac:dyDescent="0.25">
      <c r="A311" s="9">
        <v>42679</v>
      </c>
      <c r="B311">
        <v>86.496771453540703</v>
      </c>
    </row>
    <row r="312" spans="1:2" x14ac:dyDescent="0.25">
      <c r="A312" s="9">
        <v>42680</v>
      </c>
      <c r="B312">
        <v>86.559003525773903</v>
      </c>
    </row>
    <row r="313" spans="1:2" x14ac:dyDescent="0.25">
      <c r="A313" s="9">
        <v>42681</v>
      </c>
      <c r="B313">
        <v>86.626580697094397</v>
      </c>
    </row>
    <row r="314" spans="1:2" x14ac:dyDescent="0.25">
      <c r="A314" s="9">
        <v>42682</v>
      </c>
      <c r="B314">
        <v>86.685226794167207</v>
      </c>
    </row>
    <row r="315" spans="1:2" x14ac:dyDescent="0.25">
      <c r="A315" s="9">
        <v>42683</v>
      </c>
      <c r="B315">
        <v>86.747481410286099</v>
      </c>
    </row>
    <row r="316" spans="1:2" x14ac:dyDescent="0.25">
      <c r="A316" s="9">
        <v>42684</v>
      </c>
      <c r="B316">
        <v>86.807303703012593</v>
      </c>
    </row>
    <row r="317" spans="1:2" x14ac:dyDescent="0.25">
      <c r="A317" s="9">
        <v>42685</v>
      </c>
      <c r="B317">
        <v>86.8634877694723</v>
      </c>
    </row>
    <row r="318" spans="1:2" x14ac:dyDescent="0.25">
      <c r="A318" s="9">
        <v>42686</v>
      </c>
      <c r="B318">
        <v>86.930571094067602</v>
      </c>
    </row>
    <row r="319" spans="1:2" x14ac:dyDescent="0.25">
      <c r="A319" s="9">
        <v>42687</v>
      </c>
      <c r="B319">
        <v>86.990251022652004</v>
      </c>
    </row>
    <row r="320" spans="1:2" x14ac:dyDescent="0.25">
      <c r="A320" s="9">
        <v>42688</v>
      </c>
      <c r="B320">
        <v>87.053670011468199</v>
      </c>
    </row>
    <row r="321" spans="1:2" x14ac:dyDescent="0.25">
      <c r="A321" s="9">
        <v>42689</v>
      </c>
      <c r="B321">
        <v>87.115328771079604</v>
      </c>
    </row>
    <row r="322" spans="1:2" x14ac:dyDescent="0.25">
      <c r="A322" s="9">
        <v>42690</v>
      </c>
      <c r="B322">
        <v>87.174578508262499</v>
      </c>
    </row>
    <row r="323" spans="1:2" x14ac:dyDescent="0.25">
      <c r="A323" s="9">
        <v>42691</v>
      </c>
      <c r="B323">
        <v>87.238201279147304</v>
      </c>
    </row>
    <row r="324" spans="1:2" x14ac:dyDescent="0.25">
      <c r="A324" s="9">
        <v>42692</v>
      </c>
      <c r="B324">
        <v>87.305775721121606</v>
      </c>
    </row>
    <row r="325" spans="1:2" x14ac:dyDescent="0.25">
      <c r="A325" s="9">
        <v>42693</v>
      </c>
      <c r="B325">
        <v>87.362337199594094</v>
      </c>
    </row>
    <row r="326" spans="1:2" x14ac:dyDescent="0.25">
      <c r="A326" s="9">
        <v>42694</v>
      </c>
      <c r="B326">
        <v>87.426157521730005</v>
      </c>
    </row>
    <row r="327" spans="1:2" x14ac:dyDescent="0.25">
      <c r="A327" s="9">
        <v>42695</v>
      </c>
      <c r="B327">
        <v>87.483565704298897</v>
      </c>
    </row>
    <row r="328" spans="1:2" x14ac:dyDescent="0.25">
      <c r="A328" s="9">
        <v>42696</v>
      </c>
      <c r="B328">
        <v>87.542385524842103</v>
      </c>
    </row>
    <row r="329" spans="1:2" x14ac:dyDescent="0.25">
      <c r="A329" s="9">
        <v>42697</v>
      </c>
      <c r="B329">
        <v>87.600453781897102</v>
      </c>
    </row>
    <row r="330" spans="1:2" x14ac:dyDescent="0.25">
      <c r="A330" s="9">
        <v>42698</v>
      </c>
      <c r="B330">
        <v>87.663553859758593</v>
      </c>
    </row>
    <row r="331" spans="1:2" x14ac:dyDescent="0.25">
      <c r="A331" s="9">
        <v>42699</v>
      </c>
      <c r="B331">
        <v>87.719478273540901</v>
      </c>
    </row>
    <row r="332" spans="1:2" x14ac:dyDescent="0.25">
      <c r="A332" s="9">
        <v>42700</v>
      </c>
      <c r="B332">
        <v>87.776396131010202</v>
      </c>
    </row>
    <row r="333" spans="1:2" x14ac:dyDescent="0.25">
      <c r="A333" s="9">
        <v>42701</v>
      </c>
      <c r="B333">
        <v>87.834119194704996</v>
      </c>
    </row>
    <row r="334" spans="1:2" x14ac:dyDescent="0.25">
      <c r="A334" s="9">
        <v>42702</v>
      </c>
      <c r="B334">
        <v>87.896710007138097</v>
      </c>
    </row>
    <row r="335" spans="1:2" x14ac:dyDescent="0.25">
      <c r="A335" s="9">
        <v>42703</v>
      </c>
      <c r="B335">
        <v>87.951734882507097</v>
      </c>
    </row>
    <row r="336" spans="1:2" x14ac:dyDescent="0.25">
      <c r="A336" s="9">
        <v>42704</v>
      </c>
      <c r="B336">
        <v>88.007159205146095</v>
      </c>
    </row>
    <row r="337" spans="1:2" x14ac:dyDescent="0.25">
      <c r="A337" s="9">
        <v>42705</v>
      </c>
      <c r="B337">
        <v>88.063249971514395</v>
      </c>
    </row>
    <row r="338" spans="1:2" x14ac:dyDescent="0.25">
      <c r="A338" s="9">
        <v>42706</v>
      </c>
      <c r="B338">
        <v>88.122983174245505</v>
      </c>
    </row>
    <row r="339" spans="1:2" x14ac:dyDescent="0.25">
      <c r="A339" s="9">
        <v>42707</v>
      </c>
      <c r="B339">
        <v>88.178725651180997</v>
      </c>
    </row>
    <row r="340" spans="1:2" x14ac:dyDescent="0.25">
      <c r="A340" s="9">
        <v>42708</v>
      </c>
      <c r="B340">
        <v>88.233488675847795</v>
      </c>
    </row>
    <row r="341" spans="1:2" x14ac:dyDescent="0.25">
      <c r="A341" s="9">
        <v>42709</v>
      </c>
      <c r="B341">
        <v>88.297627380408699</v>
      </c>
    </row>
    <row r="342" spans="1:2" x14ac:dyDescent="0.25">
      <c r="A342" s="9">
        <v>42710</v>
      </c>
      <c r="B342">
        <v>88.357062189474703</v>
      </c>
    </row>
    <row r="343" spans="1:2" x14ac:dyDescent="0.25">
      <c r="A343" s="9">
        <v>42711</v>
      </c>
      <c r="B343">
        <v>88.420926343014202</v>
      </c>
    </row>
    <row r="344" spans="1:2" x14ac:dyDescent="0.25">
      <c r="A344" s="9">
        <v>42712</v>
      </c>
      <c r="B344">
        <v>88.481821294356905</v>
      </c>
    </row>
    <row r="345" spans="1:2" x14ac:dyDescent="0.25">
      <c r="A345" s="9">
        <v>42713</v>
      </c>
      <c r="B345">
        <v>88.540471117499095</v>
      </c>
    </row>
    <row r="346" spans="1:2" x14ac:dyDescent="0.25">
      <c r="A346" s="9">
        <v>42714</v>
      </c>
      <c r="B346">
        <v>88.599766597641803</v>
      </c>
    </row>
    <row r="347" spans="1:2" x14ac:dyDescent="0.25">
      <c r="A347" s="9">
        <v>42715</v>
      </c>
      <c r="B347">
        <v>88.653728474566094</v>
      </c>
    </row>
    <row r="348" spans="1:2" x14ac:dyDescent="0.25">
      <c r="A348" s="9">
        <v>42716</v>
      </c>
      <c r="B348">
        <v>88.709282501938603</v>
      </c>
    </row>
    <row r="349" spans="1:2" x14ac:dyDescent="0.25">
      <c r="A349" s="9">
        <v>42717</v>
      </c>
      <c r="B349">
        <v>88.776372149006306</v>
      </c>
    </row>
    <row r="350" spans="1:2" x14ac:dyDescent="0.25">
      <c r="A350" s="9">
        <v>42718</v>
      </c>
      <c r="B350">
        <v>88.831040664573095</v>
      </c>
    </row>
    <row r="351" spans="1:2" x14ac:dyDescent="0.25">
      <c r="A351" s="9">
        <v>42719</v>
      </c>
      <c r="B351">
        <v>88.898893392746402</v>
      </c>
    </row>
    <row r="352" spans="1:2" x14ac:dyDescent="0.25">
      <c r="A352" s="9">
        <v>42720</v>
      </c>
      <c r="B352">
        <v>88.957372543268605</v>
      </c>
    </row>
    <row r="353" spans="1:2" x14ac:dyDescent="0.25">
      <c r="A353" s="9">
        <v>42721</v>
      </c>
      <c r="B353">
        <v>89.026079660157393</v>
      </c>
    </row>
    <row r="354" spans="1:2" x14ac:dyDescent="0.25">
      <c r="A354" s="9">
        <v>42722</v>
      </c>
      <c r="B354">
        <v>89.089446532471896</v>
      </c>
    </row>
    <row r="355" spans="1:2" x14ac:dyDescent="0.25">
      <c r="A355" s="9">
        <v>42723</v>
      </c>
      <c r="B355">
        <v>89.151027958535195</v>
      </c>
    </row>
    <row r="356" spans="1:2" x14ac:dyDescent="0.25">
      <c r="A356" s="9">
        <v>42724</v>
      </c>
      <c r="B356">
        <v>89.2046997915552</v>
      </c>
    </row>
    <row r="357" spans="1:2" x14ac:dyDescent="0.25">
      <c r="A357" s="9">
        <v>42725</v>
      </c>
      <c r="B357">
        <v>89.264946276046302</v>
      </c>
    </row>
    <row r="358" spans="1:2" x14ac:dyDescent="0.25">
      <c r="A358" s="9">
        <v>42726</v>
      </c>
      <c r="B358">
        <v>89.330937924983203</v>
      </c>
    </row>
    <row r="359" spans="1:2" x14ac:dyDescent="0.25">
      <c r="A359" s="9">
        <v>42727</v>
      </c>
      <c r="B359">
        <v>89.396586741511996</v>
      </c>
    </row>
    <row r="360" spans="1:2" x14ac:dyDescent="0.25">
      <c r="A360" s="9">
        <v>42728</v>
      </c>
      <c r="B360">
        <v>89.459435003709103</v>
      </c>
    </row>
    <row r="361" spans="1:2" x14ac:dyDescent="0.25">
      <c r="A361" s="9">
        <v>42729</v>
      </c>
      <c r="B361">
        <v>89.520031829907495</v>
      </c>
    </row>
    <row r="362" spans="1:2" x14ac:dyDescent="0.25">
      <c r="A362" s="9">
        <v>42730</v>
      </c>
      <c r="B362">
        <v>89.589846031369504</v>
      </c>
    </row>
    <row r="363" spans="1:2" x14ac:dyDescent="0.25">
      <c r="A363" s="9">
        <v>42731</v>
      </c>
      <c r="B363">
        <v>89.658135396564603</v>
      </c>
    </row>
    <row r="364" spans="1:2" x14ac:dyDescent="0.25">
      <c r="A364" s="9">
        <v>42732</v>
      </c>
      <c r="B364">
        <v>89.718498879150602</v>
      </c>
    </row>
    <row r="365" spans="1:2" x14ac:dyDescent="0.25">
      <c r="A365" s="9">
        <v>42733</v>
      </c>
      <c r="B365">
        <v>89.777160939767896</v>
      </c>
    </row>
    <row r="366" spans="1:2" x14ac:dyDescent="0.25">
      <c r="A366" s="9">
        <v>42734</v>
      </c>
      <c r="B366">
        <v>89.844981109503294</v>
      </c>
    </row>
    <row r="367" spans="1:2" x14ac:dyDescent="0.25">
      <c r="A367" s="9">
        <v>42735</v>
      </c>
      <c r="B367">
        <v>89.904389450919794</v>
      </c>
    </row>
    <row r="368" spans="1:2" x14ac:dyDescent="0.25">
      <c r="A368" s="9">
        <v>42736</v>
      </c>
      <c r="B368">
        <v>89.966545503646799</v>
      </c>
    </row>
    <row r="369" spans="1:2" x14ac:dyDescent="0.25">
      <c r="A369" s="9">
        <v>42737</v>
      </c>
      <c r="B369">
        <v>90.027753302994</v>
      </c>
    </row>
    <row r="370" spans="1:2" x14ac:dyDescent="0.25">
      <c r="A370" s="9">
        <v>42738</v>
      </c>
      <c r="B370">
        <v>90.089963698941006</v>
      </c>
    </row>
    <row r="371" spans="1:2" x14ac:dyDescent="0.25">
      <c r="A371" s="9">
        <v>42739</v>
      </c>
      <c r="B371">
        <v>90.157112366574793</v>
      </c>
    </row>
    <row r="372" spans="1:2" x14ac:dyDescent="0.25">
      <c r="A372" s="9">
        <v>42740</v>
      </c>
      <c r="B372">
        <v>90.218958592710194</v>
      </c>
    </row>
    <row r="373" spans="1:2" x14ac:dyDescent="0.25">
      <c r="A373" s="9">
        <v>42741</v>
      </c>
      <c r="B373">
        <v>90.284595904522007</v>
      </c>
    </row>
    <row r="374" spans="1:2" x14ac:dyDescent="0.25">
      <c r="A374" s="9">
        <v>42742</v>
      </c>
      <c r="B374">
        <v>90.342886809896399</v>
      </c>
    </row>
    <row r="375" spans="1:2" x14ac:dyDescent="0.25">
      <c r="A375" s="9">
        <v>42743</v>
      </c>
      <c r="B375">
        <v>90.410617378733903</v>
      </c>
    </row>
    <row r="376" spans="1:2" x14ac:dyDescent="0.25">
      <c r="A376" s="9">
        <v>42744</v>
      </c>
      <c r="B376">
        <v>90.468596960065199</v>
      </c>
    </row>
    <row r="377" spans="1:2" x14ac:dyDescent="0.25">
      <c r="A377" s="9">
        <v>42745</v>
      </c>
      <c r="B377">
        <v>90.537671238291196</v>
      </c>
    </row>
    <row r="378" spans="1:2" x14ac:dyDescent="0.25">
      <c r="A378" s="9">
        <v>42746</v>
      </c>
      <c r="B378">
        <v>90.609681561456895</v>
      </c>
    </row>
    <row r="379" spans="1:2" x14ac:dyDescent="0.25">
      <c r="A379" s="9">
        <v>42747</v>
      </c>
      <c r="B379">
        <v>90.673348167923507</v>
      </c>
    </row>
    <row r="380" spans="1:2" x14ac:dyDescent="0.25">
      <c r="A380" s="9">
        <v>42748</v>
      </c>
      <c r="B380">
        <v>90.735697788871704</v>
      </c>
    </row>
    <row r="381" spans="1:2" x14ac:dyDescent="0.25">
      <c r="A381" s="9">
        <v>42749</v>
      </c>
      <c r="B381">
        <v>90.797131814866006</v>
      </c>
    </row>
    <row r="382" spans="1:2" x14ac:dyDescent="0.25">
      <c r="A382" s="9">
        <v>42750</v>
      </c>
      <c r="B382">
        <v>90.860764420276098</v>
      </c>
    </row>
    <row r="383" spans="1:2" x14ac:dyDescent="0.25">
      <c r="A383" s="9">
        <v>42751</v>
      </c>
      <c r="B383">
        <v>90.921886390521905</v>
      </c>
    </row>
    <row r="384" spans="1:2" x14ac:dyDescent="0.25">
      <c r="A384" s="9">
        <v>42752</v>
      </c>
      <c r="B384">
        <v>90.986114994965106</v>
      </c>
    </row>
    <row r="385" spans="1:2" x14ac:dyDescent="0.25">
      <c r="A385" s="9">
        <v>42753</v>
      </c>
      <c r="B385">
        <v>91.047063190838799</v>
      </c>
    </row>
    <row r="386" spans="1:2" x14ac:dyDescent="0.25">
      <c r="A386" s="9">
        <v>42754</v>
      </c>
      <c r="B386">
        <v>91.112678510744104</v>
      </c>
    </row>
    <row r="387" spans="1:2" x14ac:dyDescent="0.25">
      <c r="A387" s="9">
        <v>42755</v>
      </c>
      <c r="B387">
        <v>91.180423806877101</v>
      </c>
    </row>
    <row r="388" spans="1:2" x14ac:dyDescent="0.25">
      <c r="A388" s="9">
        <v>42756</v>
      </c>
      <c r="B388">
        <v>91.242123077269</v>
      </c>
    </row>
    <row r="389" spans="1:2" x14ac:dyDescent="0.25">
      <c r="A389" s="9">
        <v>42757</v>
      </c>
      <c r="B389">
        <v>91.297170669661099</v>
      </c>
    </row>
    <row r="390" spans="1:2" x14ac:dyDescent="0.25">
      <c r="A390" s="9">
        <v>42758</v>
      </c>
      <c r="B390">
        <v>91.357151740805506</v>
      </c>
    </row>
    <row r="391" spans="1:2" x14ac:dyDescent="0.25">
      <c r="A391" s="9">
        <v>42759</v>
      </c>
      <c r="B391">
        <v>91.416203061918694</v>
      </c>
    </row>
    <row r="392" spans="1:2" x14ac:dyDescent="0.25">
      <c r="A392" s="9">
        <v>42760</v>
      </c>
      <c r="B392">
        <v>91.478880738890098</v>
      </c>
    </row>
    <row r="393" spans="1:2" x14ac:dyDescent="0.25">
      <c r="A393" s="9">
        <v>42761</v>
      </c>
      <c r="B393">
        <v>91.539735297371706</v>
      </c>
    </row>
    <row r="394" spans="1:2" x14ac:dyDescent="0.25">
      <c r="A394" s="9">
        <v>42762</v>
      </c>
      <c r="B394">
        <v>91.605766474829807</v>
      </c>
    </row>
    <row r="395" spans="1:2" x14ac:dyDescent="0.25">
      <c r="A395" s="9">
        <v>42763</v>
      </c>
      <c r="B395">
        <v>91.669264295283696</v>
      </c>
    </row>
    <row r="396" spans="1:2" x14ac:dyDescent="0.25">
      <c r="A396" s="9">
        <v>42764</v>
      </c>
      <c r="B396">
        <v>91.732313478708804</v>
      </c>
    </row>
    <row r="397" spans="1:2" x14ac:dyDescent="0.25">
      <c r="A397" s="9">
        <v>42765</v>
      </c>
      <c r="B397">
        <v>91.798087300837395</v>
      </c>
    </row>
    <row r="398" spans="1:2" x14ac:dyDescent="0.25">
      <c r="A398" s="9">
        <v>42766</v>
      </c>
      <c r="B398">
        <v>91.857167665793</v>
      </c>
    </row>
    <row r="399" spans="1:2" x14ac:dyDescent="0.25">
      <c r="A399" s="9">
        <v>42767</v>
      </c>
      <c r="B399">
        <v>91.919428564380098</v>
      </c>
    </row>
    <row r="400" spans="1:2" x14ac:dyDescent="0.25">
      <c r="A400" s="9">
        <v>42768</v>
      </c>
      <c r="B400">
        <v>91.978475213031999</v>
      </c>
    </row>
    <row r="401" spans="1:2" x14ac:dyDescent="0.25">
      <c r="A401" s="9">
        <v>42769</v>
      </c>
      <c r="B401">
        <v>92.041497728965297</v>
      </c>
    </row>
    <row r="402" spans="1:2" x14ac:dyDescent="0.25">
      <c r="A402" s="9">
        <v>42770</v>
      </c>
      <c r="B402">
        <v>92.0974877230787</v>
      </c>
    </row>
    <row r="403" spans="1:2" x14ac:dyDescent="0.25">
      <c r="A403" s="9">
        <v>42771</v>
      </c>
      <c r="B403">
        <v>92.156927032534597</v>
      </c>
    </row>
    <row r="404" spans="1:2" x14ac:dyDescent="0.25">
      <c r="A404" s="9">
        <v>42772</v>
      </c>
      <c r="B404">
        <v>92.219112198129693</v>
      </c>
    </row>
    <row r="405" spans="1:2" x14ac:dyDescent="0.25">
      <c r="A405" s="9">
        <v>42773</v>
      </c>
      <c r="B405">
        <v>92.285377239587604</v>
      </c>
    </row>
    <row r="406" spans="1:2" x14ac:dyDescent="0.25">
      <c r="A406" s="9">
        <v>42774</v>
      </c>
      <c r="B406">
        <v>92.358528870723504</v>
      </c>
    </row>
    <row r="407" spans="1:2" x14ac:dyDescent="0.25">
      <c r="A407" s="9">
        <v>42775</v>
      </c>
      <c r="B407">
        <v>92.420913820614402</v>
      </c>
    </row>
    <row r="408" spans="1:2" x14ac:dyDescent="0.25">
      <c r="A408" s="9">
        <v>42776</v>
      </c>
      <c r="B408">
        <v>92.482659368677503</v>
      </c>
    </row>
    <row r="409" spans="1:2" x14ac:dyDescent="0.25">
      <c r="A409" s="9">
        <v>42777</v>
      </c>
      <c r="B409">
        <v>92.540425347995395</v>
      </c>
    </row>
    <row r="410" spans="1:2" x14ac:dyDescent="0.25">
      <c r="A410" s="9">
        <v>42778</v>
      </c>
      <c r="B410">
        <v>92.604070087910202</v>
      </c>
    </row>
    <row r="411" spans="1:2" x14ac:dyDescent="0.25">
      <c r="A411" s="9">
        <v>42779</v>
      </c>
      <c r="B411">
        <v>92.671983082651707</v>
      </c>
    </row>
    <row r="412" spans="1:2" x14ac:dyDescent="0.25">
      <c r="A412" s="9">
        <v>42780</v>
      </c>
      <c r="B412">
        <v>92.739348600577202</v>
      </c>
    </row>
    <row r="413" spans="1:2" x14ac:dyDescent="0.25">
      <c r="A413" s="9">
        <v>42781</v>
      </c>
      <c r="B413">
        <v>92.8017398620606</v>
      </c>
    </row>
    <row r="414" spans="1:2" x14ac:dyDescent="0.25">
      <c r="A414" s="9">
        <v>42782</v>
      </c>
      <c r="B414">
        <v>92.866299139912002</v>
      </c>
    </row>
    <row r="415" spans="1:2" x14ac:dyDescent="0.25">
      <c r="A415" s="9">
        <v>42783</v>
      </c>
      <c r="B415">
        <v>92.928308771654699</v>
      </c>
    </row>
    <row r="416" spans="1:2" x14ac:dyDescent="0.25">
      <c r="A416" s="9">
        <v>42784</v>
      </c>
      <c r="B416">
        <v>92.989164420714303</v>
      </c>
    </row>
    <row r="417" spans="1:2" x14ac:dyDescent="0.25">
      <c r="A417" s="9">
        <v>42785</v>
      </c>
      <c r="B417">
        <v>93.045580481230402</v>
      </c>
    </row>
    <row r="418" spans="1:2" x14ac:dyDescent="0.25">
      <c r="A418" s="9">
        <v>42786</v>
      </c>
      <c r="B418">
        <v>93.105092298505397</v>
      </c>
    </row>
    <row r="419" spans="1:2" x14ac:dyDescent="0.25">
      <c r="A419" s="9">
        <v>42787</v>
      </c>
      <c r="B419">
        <v>93.169496728565207</v>
      </c>
    </row>
    <row r="420" spans="1:2" x14ac:dyDescent="0.25">
      <c r="A420" s="9">
        <v>42788</v>
      </c>
      <c r="B420">
        <v>93.232656386985298</v>
      </c>
    </row>
    <row r="421" spans="1:2" x14ac:dyDescent="0.25">
      <c r="A421" s="9">
        <v>42789</v>
      </c>
      <c r="B421">
        <v>93.296124817612096</v>
      </c>
    </row>
    <row r="422" spans="1:2" x14ac:dyDescent="0.25">
      <c r="A422" s="9">
        <v>42790</v>
      </c>
      <c r="B422">
        <v>93.360115000782898</v>
      </c>
    </row>
    <row r="423" spans="1:2" x14ac:dyDescent="0.25">
      <c r="A423" s="9">
        <v>42791</v>
      </c>
      <c r="B423">
        <v>93.423403541334196</v>
      </c>
    </row>
    <row r="424" spans="1:2" x14ac:dyDescent="0.25">
      <c r="A424" s="9">
        <v>42792</v>
      </c>
      <c r="B424">
        <v>93.485925598769299</v>
      </c>
    </row>
    <row r="425" spans="1:2" x14ac:dyDescent="0.25">
      <c r="A425" s="9">
        <v>42793</v>
      </c>
      <c r="B425">
        <v>93.547870937456096</v>
      </c>
    </row>
    <row r="426" spans="1:2" x14ac:dyDescent="0.25">
      <c r="A426" s="9">
        <v>42794</v>
      </c>
      <c r="B426">
        <v>93.614391871755998</v>
      </c>
    </row>
    <row r="427" spans="1:2" x14ac:dyDescent="0.25">
      <c r="A427" s="9">
        <v>42795</v>
      </c>
      <c r="B427">
        <v>93.675208226848099</v>
      </c>
    </row>
    <row r="428" spans="1:2" x14ac:dyDescent="0.25">
      <c r="A428" s="9">
        <v>42796</v>
      </c>
      <c r="B428">
        <v>93.7430952822656</v>
      </c>
    </row>
    <row r="429" spans="1:2" x14ac:dyDescent="0.25">
      <c r="A429" s="9">
        <v>42797</v>
      </c>
      <c r="B429">
        <v>93.803774354292003</v>
      </c>
    </row>
    <row r="430" spans="1:2" x14ac:dyDescent="0.25">
      <c r="A430" s="9">
        <v>42798</v>
      </c>
      <c r="B430">
        <v>93.871850228289603</v>
      </c>
    </row>
    <row r="431" spans="1:2" x14ac:dyDescent="0.25">
      <c r="A431" s="9">
        <v>42799</v>
      </c>
      <c r="B431">
        <v>93.930718095471406</v>
      </c>
    </row>
    <row r="432" spans="1:2" x14ac:dyDescent="0.25">
      <c r="A432" s="9">
        <v>42800</v>
      </c>
      <c r="B432">
        <v>93.996324902615996</v>
      </c>
    </row>
    <row r="433" spans="1:2" x14ac:dyDescent="0.25">
      <c r="A433" s="9">
        <v>42801</v>
      </c>
      <c r="B433">
        <v>94.059665789110298</v>
      </c>
    </row>
    <row r="434" spans="1:2" x14ac:dyDescent="0.25">
      <c r="A434" s="9">
        <v>42802</v>
      </c>
      <c r="B434">
        <v>94.124977243131994</v>
      </c>
    </row>
    <row r="435" spans="1:2" x14ac:dyDescent="0.25">
      <c r="A435" s="9">
        <v>42803</v>
      </c>
      <c r="B435">
        <v>94.193840771553198</v>
      </c>
    </row>
    <row r="436" spans="1:2" x14ac:dyDescent="0.25">
      <c r="A436" s="9">
        <v>42804</v>
      </c>
      <c r="B436">
        <v>94.259825046323002</v>
      </c>
    </row>
    <row r="437" spans="1:2" x14ac:dyDescent="0.25">
      <c r="A437" s="9">
        <v>42805</v>
      </c>
      <c r="B437">
        <v>94.322036392520801</v>
      </c>
    </row>
    <row r="438" spans="1:2" x14ac:dyDescent="0.25">
      <c r="A438" s="9">
        <v>42806</v>
      </c>
      <c r="B438">
        <v>94.390729788128795</v>
      </c>
    </row>
    <row r="439" spans="1:2" x14ac:dyDescent="0.25">
      <c r="A439" s="9">
        <v>42807</v>
      </c>
      <c r="B439">
        <v>94.454896129963799</v>
      </c>
    </row>
    <row r="440" spans="1:2" x14ac:dyDescent="0.25">
      <c r="A440" s="9">
        <v>42808</v>
      </c>
      <c r="B440">
        <v>94.520040648743304</v>
      </c>
    </row>
    <row r="441" spans="1:2" x14ac:dyDescent="0.25">
      <c r="A441" s="9">
        <v>42809</v>
      </c>
      <c r="B441">
        <v>94.582091271976296</v>
      </c>
    </row>
    <row r="442" spans="1:2" x14ac:dyDescent="0.25">
      <c r="A442" s="9">
        <v>42810</v>
      </c>
      <c r="B442">
        <v>94.649914327452294</v>
      </c>
    </row>
    <row r="443" spans="1:2" x14ac:dyDescent="0.25">
      <c r="A443" s="9">
        <v>42811</v>
      </c>
      <c r="B443">
        <v>94.719164975200698</v>
      </c>
    </row>
    <row r="444" spans="1:2" x14ac:dyDescent="0.25">
      <c r="A444" s="9">
        <v>42812</v>
      </c>
      <c r="B444">
        <v>94.782366006485304</v>
      </c>
    </row>
    <row r="445" spans="1:2" x14ac:dyDescent="0.25">
      <c r="A445" s="9">
        <v>42813</v>
      </c>
      <c r="B445">
        <v>94.851465448174594</v>
      </c>
    </row>
    <row r="446" spans="1:2" x14ac:dyDescent="0.25">
      <c r="A446" s="9">
        <v>42814</v>
      </c>
      <c r="B446">
        <v>94.917645845678194</v>
      </c>
    </row>
    <row r="447" spans="1:2" x14ac:dyDescent="0.25">
      <c r="A447" s="9">
        <v>42815</v>
      </c>
      <c r="B447">
        <v>94.977619407124095</v>
      </c>
    </row>
    <row r="448" spans="1:2" x14ac:dyDescent="0.25">
      <c r="A448" s="9">
        <v>42816</v>
      </c>
      <c r="B448">
        <v>95.044847767173493</v>
      </c>
    </row>
    <row r="449" spans="1:2" x14ac:dyDescent="0.25">
      <c r="A449" s="9">
        <v>42817</v>
      </c>
      <c r="B449">
        <v>95.113275283283201</v>
      </c>
    </row>
    <row r="450" spans="1:2" x14ac:dyDescent="0.25">
      <c r="A450" s="9">
        <v>42818</v>
      </c>
      <c r="B450">
        <v>95.181918533105801</v>
      </c>
    </row>
    <row r="451" spans="1:2" x14ac:dyDescent="0.25">
      <c r="A451" s="9">
        <v>42819</v>
      </c>
      <c r="B451">
        <v>95.251602469513301</v>
      </c>
    </row>
    <row r="452" spans="1:2" x14ac:dyDescent="0.25">
      <c r="A452" s="9">
        <v>42820</v>
      </c>
      <c r="B452">
        <v>95.315366991357607</v>
      </c>
    </row>
    <row r="453" spans="1:2" x14ac:dyDescent="0.25">
      <c r="A453" s="9">
        <v>42821</v>
      </c>
      <c r="B453">
        <v>95.378421885012798</v>
      </c>
    </row>
    <row r="454" spans="1:2" x14ac:dyDescent="0.25">
      <c r="A454" s="9">
        <v>42822</v>
      </c>
      <c r="B454">
        <v>95.442457010568305</v>
      </c>
    </row>
    <row r="455" spans="1:2" x14ac:dyDescent="0.25">
      <c r="A455" s="9">
        <v>42823</v>
      </c>
      <c r="B455">
        <v>95.510687802320405</v>
      </c>
    </row>
    <row r="456" spans="1:2" x14ac:dyDescent="0.25">
      <c r="A456" s="9">
        <v>42824</v>
      </c>
      <c r="B456">
        <v>95.571855158646898</v>
      </c>
    </row>
    <row r="457" spans="1:2" x14ac:dyDescent="0.25">
      <c r="A457" s="9">
        <v>42825</v>
      </c>
      <c r="B457">
        <v>95.637654729478697</v>
      </c>
    </row>
    <row r="458" spans="1:2" x14ac:dyDescent="0.25">
      <c r="A458" s="9">
        <v>42826</v>
      </c>
      <c r="B458">
        <v>95.703849173507606</v>
      </c>
    </row>
    <row r="459" spans="1:2" x14ac:dyDescent="0.25">
      <c r="A459" s="9">
        <v>42827</v>
      </c>
      <c r="B459">
        <v>95.768216260248806</v>
      </c>
    </row>
    <row r="460" spans="1:2" x14ac:dyDescent="0.25">
      <c r="A460" s="9">
        <v>42828</v>
      </c>
      <c r="B460">
        <v>95.833958584019101</v>
      </c>
    </row>
    <row r="461" spans="1:2" x14ac:dyDescent="0.25">
      <c r="A461" s="9">
        <v>42829</v>
      </c>
      <c r="B461">
        <v>95.903863945990395</v>
      </c>
    </row>
    <row r="462" spans="1:2" x14ac:dyDescent="0.25">
      <c r="A462" s="9">
        <v>42830</v>
      </c>
      <c r="B462">
        <v>95.973160509674003</v>
      </c>
    </row>
    <row r="463" spans="1:2" x14ac:dyDescent="0.25">
      <c r="A463" s="9">
        <v>42831</v>
      </c>
      <c r="B463">
        <v>96.039902730445704</v>
      </c>
    </row>
    <row r="464" spans="1:2" x14ac:dyDescent="0.25">
      <c r="A464" s="9">
        <v>42832</v>
      </c>
      <c r="B464">
        <v>96.0931551273721</v>
      </c>
    </row>
    <row r="465" spans="1:2" x14ac:dyDescent="0.25">
      <c r="A465" s="9">
        <v>42833</v>
      </c>
      <c r="B465">
        <v>96.160184612399803</v>
      </c>
    </row>
    <row r="466" spans="1:2" x14ac:dyDescent="0.25">
      <c r="A466" s="9">
        <v>42834</v>
      </c>
      <c r="B466">
        <v>96.229214113032299</v>
      </c>
    </row>
    <row r="467" spans="1:2" x14ac:dyDescent="0.25">
      <c r="A467" s="9">
        <v>42835</v>
      </c>
      <c r="B467">
        <v>96.293132057076505</v>
      </c>
    </row>
    <row r="468" spans="1:2" x14ac:dyDescent="0.25">
      <c r="A468" s="9">
        <v>42836</v>
      </c>
      <c r="B468">
        <v>96.357719665991198</v>
      </c>
    </row>
    <row r="469" spans="1:2" x14ac:dyDescent="0.25">
      <c r="A469" s="9">
        <v>42837</v>
      </c>
      <c r="B469">
        <v>96.424275704083499</v>
      </c>
    </row>
    <row r="470" spans="1:2" x14ac:dyDescent="0.25">
      <c r="A470" s="9">
        <v>42838</v>
      </c>
      <c r="B470">
        <v>96.4958850779161</v>
      </c>
    </row>
    <row r="471" spans="1:2" x14ac:dyDescent="0.25">
      <c r="A471" s="9">
        <v>42839</v>
      </c>
      <c r="B471">
        <v>96.570602721123393</v>
      </c>
    </row>
    <row r="472" spans="1:2" x14ac:dyDescent="0.25">
      <c r="A472" s="9">
        <v>42840</v>
      </c>
      <c r="B472">
        <v>96.643749071286393</v>
      </c>
    </row>
    <row r="473" spans="1:2" x14ac:dyDescent="0.25">
      <c r="A473" s="9">
        <v>42841</v>
      </c>
      <c r="B473">
        <v>96.708488353317506</v>
      </c>
    </row>
    <row r="474" spans="1:2" x14ac:dyDescent="0.25">
      <c r="A474" s="9">
        <v>42842</v>
      </c>
      <c r="B474">
        <v>96.774860547230304</v>
      </c>
    </row>
    <row r="475" spans="1:2" x14ac:dyDescent="0.25">
      <c r="A475" s="9">
        <v>42843</v>
      </c>
      <c r="B475">
        <v>96.846069724101994</v>
      </c>
    </row>
    <row r="476" spans="1:2" x14ac:dyDescent="0.25">
      <c r="A476" s="9">
        <v>42844</v>
      </c>
      <c r="B476">
        <v>96.908973777620105</v>
      </c>
    </row>
    <row r="477" spans="1:2" x14ac:dyDescent="0.25">
      <c r="A477" s="9">
        <v>42845</v>
      </c>
      <c r="B477">
        <v>96.972224260000502</v>
      </c>
    </row>
    <row r="478" spans="1:2" x14ac:dyDescent="0.25">
      <c r="A478" s="9">
        <v>42846</v>
      </c>
      <c r="B478">
        <v>97.043169531695895</v>
      </c>
    </row>
    <row r="479" spans="1:2" x14ac:dyDescent="0.25">
      <c r="A479" s="9">
        <v>42847</v>
      </c>
      <c r="B479">
        <v>97.111588878899397</v>
      </c>
    </row>
    <row r="480" spans="1:2" x14ac:dyDescent="0.25">
      <c r="A480" s="9">
        <v>42848</v>
      </c>
      <c r="B480">
        <v>97.178486505495599</v>
      </c>
    </row>
    <row r="481" spans="1:2" x14ac:dyDescent="0.25">
      <c r="A481" s="9">
        <v>42849</v>
      </c>
      <c r="B481">
        <v>97.250820667464097</v>
      </c>
    </row>
    <row r="482" spans="1:2" x14ac:dyDescent="0.25">
      <c r="A482" s="9">
        <v>42850</v>
      </c>
      <c r="B482">
        <v>97.315325176449903</v>
      </c>
    </row>
    <row r="483" spans="1:2" x14ac:dyDescent="0.25">
      <c r="A483" s="9">
        <v>42851</v>
      </c>
      <c r="B483">
        <v>97.3828047843338</v>
      </c>
    </row>
    <row r="484" spans="1:2" x14ac:dyDescent="0.25">
      <c r="A484" s="9">
        <v>42852</v>
      </c>
      <c r="B484">
        <v>97.450422155755604</v>
      </c>
    </row>
    <row r="485" spans="1:2" x14ac:dyDescent="0.25">
      <c r="A485" s="9">
        <v>42853</v>
      </c>
      <c r="B485">
        <v>97.517299252914199</v>
      </c>
    </row>
    <row r="486" spans="1:2" x14ac:dyDescent="0.25">
      <c r="A486" s="9">
        <v>42854</v>
      </c>
      <c r="B486">
        <v>97.585420518063003</v>
      </c>
    </row>
    <row r="487" spans="1:2" x14ac:dyDescent="0.25">
      <c r="A487" s="9">
        <v>42855</v>
      </c>
      <c r="B487">
        <v>97.648234013251695</v>
      </c>
    </row>
    <row r="488" spans="1:2" x14ac:dyDescent="0.25">
      <c r="A488" s="9">
        <v>42856</v>
      </c>
      <c r="B488">
        <v>97.718750795739993</v>
      </c>
    </row>
    <row r="489" spans="1:2" x14ac:dyDescent="0.25">
      <c r="A489" s="9">
        <v>42857</v>
      </c>
      <c r="B489">
        <v>97.779237703844501</v>
      </c>
    </row>
    <row r="490" spans="1:2" x14ac:dyDescent="0.25">
      <c r="A490" s="9">
        <v>42858</v>
      </c>
      <c r="B490">
        <v>97.849521391559307</v>
      </c>
    </row>
    <row r="491" spans="1:2" x14ac:dyDescent="0.25">
      <c r="A491" s="9">
        <v>42859</v>
      </c>
      <c r="B491">
        <v>97.920124329423004</v>
      </c>
    </row>
    <row r="492" spans="1:2" x14ac:dyDescent="0.25">
      <c r="A492" s="9">
        <v>42860</v>
      </c>
      <c r="B492">
        <v>97.984025308149896</v>
      </c>
    </row>
    <row r="493" spans="1:2" x14ac:dyDescent="0.25">
      <c r="A493" s="9">
        <v>42861</v>
      </c>
      <c r="B493">
        <v>98.050876323883799</v>
      </c>
    </row>
    <row r="494" spans="1:2" x14ac:dyDescent="0.25">
      <c r="A494" s="9">
        <v>42862</v>
      </c>
      <c r="B494">
        <v>98.1169344648155</v>
      </c>
    </row>
    <row r="495" spans="1:2" x14ac:dyDescent="0.25">
      <c r="A495" s="9">
        <v>42863</v>
      </c>
      <c r="B495">
        <v>98.192082404761706</v>
      </c>
    </row>
    <row r="496" spans="1:2" x14ac:dyDescent="0.25">
      <c r="A496" s="9">
        <v>42864</v>
      </c>
      <c r="B496">
        <v>98.258142184142699</v>
      </c>
    </row>
    <row r="497" spans="1:2" x14ac:dyDescent="0.25">
      <c r="A497" s="9">
        <v>42865</v>
      </c>
      <c r="B497">
        <v>98.325126787757398</v>
      </c>
    </row>
    <row r="498" spans="1:2" x14ac:dyDescent="0.25">
      <c r="A498" s="9">
        <v>42866</v>
      </c>
      <c r="B498">
        <v>98.387774726784897</v>
      </c>
    </row>
    <row r="499" spans="1:2" x14ac:dyDescent="0.25">
      <c r="A499" s="9">
        <v>42867</v>
      </c>
      <c r="B499">
        <v>98.454941827915306</v>
      </c>
    </row>
    <row r="500" spans="1:2" x14ac:dyDescent="0.25">
      <c r="A500" s="9">
        <v>42868</v>
      </c>
      <c r="B500">
        <v>98.525583366512294</v>
      </c>
    </row>
    <row r="501" spans="1:2" x14ac:dyDescent="0.25">
      <c r="A501" s="9">
        <v>42869</v>
      </c>
      <c r="B501">
        <v>98.592586104953895</v>
      </c>
    </row>
    <row r="502" spans="1:2" x14ac:dyDescent="0.25">
      <c r="A502" s="9">
        <v>42870</v>
      </c>
      <c r="B502">
        <v>98.656158528396801</v>
      </c>
    </row>
    <row r="503" spans="1:2" x14ac:dyDescent="0.25">
      <c r="A503" s="9">
        <v>42871</v>
      </c>
      <c r="B503">
        <v>98.727982955797202</v>
      </c>
    </row>
    <row r="504" spans="1:2" x14ac:dyDescent="0.25">
      <c r="A504" s="9">
        <v>42872</v>
      </c>
      <c r="B504">
        <v>98.794302719083404</v>
      </c>
    </row>
    <row r="505" spans="1:2" x14ac:dyDescent="0.25">
      <c r="A505" s="9">
        <v>42873</v>
      </c>
      <c r="B505">
        <v>98.865933876760806</v>
      </c>
    </row>
    <row r="506" spans="1:2" x14ac:dyDescent="0.25">
      <c r="A506" s="9">
        <v>42874</v>
      </c>
      <c r="B506">
        <v>98.939219283654097</v>
      </c>
    </row>
    <row r="507" spans="1:2" x14ac:dyDescent="0.25">
      <c r="A507" s="9">
        <v>42875</v>
      </c>
      <c r="B507">
        <v>99.006297200698299</v>
      </c>
    </row>
    <row r="508" spans="1:2" x14ac:dyDescent="0.25">
      <c r="A508" s="9">
        <v>42876</v>
      </c>
      <c r="B508">
        <v>99.079086795806106</v>
      </c>
    </row>
    <row r="509" spans="1:2" x14ac:dyDescent="0.25">
      <c r="A509" s="9">
        <v>42877</v>
      </c>
      <c r="B509">
        <v>99.144168148795302</v>
      </c>
    </row>
    <row r="510" spans="1:2" x14ac:dyDescent="0.25">
      <c r="A510" s="9">
        <v>42878</v>
      </c>
      <c r="B510">
        <v>99.213914354077602</v>
      </c>
    </row>
    <row r="511" spans="1:2" x14ac:dyDescent="0.25">
      <c r="A511" s="9">
        <v>42879</v>
      </c>
      <c r="B511">
        <v>99.286431322065297</v>
      </c>
    </row>
    <row r="512" spans="1:2" x14ac:dyDescent="0.25">
      <c r="A512" s="9">
        <v>42880</v>
      </c>
      <c r="B512">
        <v>99.357727387990195</v>
      </c>
    </row>
    <row r="513" spans="1:2" x14ac:dyDescent="0.25">
      <c r="A513" s="9">
        <v>42881</v>
      </c>
      <c r="B513">
        <v>99.423732419962604</v>
      </c>
    </row>
    <row r="514" spans="1:2" x14ac:dyDescent="0.25">
      <c r="A514" s="9">
        <v>42882</v>
      </c>
      <c r="B514">
        <v>99.4903620545889</v>
      </c>
    </row>
    <row r="515" spans="1:2" x14ac:dyDescent="0.25">
      <c r="A515" s="9">
        <v>42883</v>
      </c>
      <c r="B515">
        <v>99.561363230496596</v>
      </c>
    </row>
    <row r="516" spans="1:2" x14ac:dyDescent="0.25">
      <c r="A516" s="9">
        <v>42884</v>
      </c>
      <c r="B516">
        <v>99.626729131296202</v>
      </c>
    </row>
    <row r="517" spans="1:2" x14ac:dyDescent="0.25">
      <c r="A517" s="9">
        <v>42885</v>
      </c>
      <c r="B517">
        <v>99.692982365166401</v>
      </c>
    </row>
    <row r="518" spans="1:2" x14ac:dyDescent="0.25">
      <c r="A518" s="9">
        <v>42886</v>
      </c>
      <c r="B518">
        <v>99.765828987689105</v>
      </c>
    </row>
    <row r="519" spans="1:2" x14ac:dyDescent="0.25">
      <c r="A519" s="9">
        <v>42887</v>
      </c>
      <c r="B519">
        <v>99.836508971918803</v>
      </c>
    </row>
    <row r="520" spans="1:2" x14ac:dyDescent="0.25">
      <c r="A520" s="9">
        <v>42888</v>
      </c>
      <c r="B520">
        <v>99.904483422873795</v>
      </c>
    </row>
    <row r="521" spans="1:2" x14ac:dyDescent="0.25">
      <c r="A521" s="9">
        <v>42889</v>
      </c>
      <c r="B521">
        <v>99.974503765081295</v>
      </c>
    </row>
    <row r="522" spans="1:2" x14ac:dyDescent="0.25">
      <c r="A522" s="9">
        <v>42890</v>
      </c>
      <c r="B522">
        <v>100.047844925212</v>
      </c>
    </row>
    <row r="523" spans="1:2" x14ac:dyDescent="0.25">
      <c r="A523" s="9">
        <v>42891</v>
      </c>
      <c r="B523">
        <v>100.11551443842799</v>
      </c>
    </row>
    <row r="524" spans="1:2" x14ac:dyDescent="0.25">
      <c r="A524" s="9">
        <v>42892</v>
      </c>
      <c r="B524">
        <v>100.190814610985</v>
      </c>
    </row>
    <row r="525" spans="1:2" x14ac:dyDescent="0.25">
      <c r="A525" s="9">
        <v>42893</v>
      </c>
      <c r="B525">
        <v>100.258669385459</v>
      </c>
    </row>
    <row r="526" spans="1:2" x14ac:dyDescent="0.25">
      <c r="A526" s="9">
        <v>42894</v>
      </c>
      <c r="B526">
        <v>100.32773907492199</v>
      </c>
    </row>
    <row r="527" spans="1:2" x14ac:dyDescent="0.25">
      <c r="A527" s="9">
        <v>42895</v>
      </c>
      <c r="B527">
        <v>100.395308747992</v>
      </c>
    </row>
    <row r="528" spans="1:2" x14ac:dyDescent="0.25">
      <c r="A528" s="9">
        <v>42896</v>
      </c>
      <c r="B528">
        <v>100.471785273534</v>
      </c>
    </row>
    <row r="529" spans="1:2" x14ac:dyDescent="0.25">
      <c r="A529" s="9">
        <v>42897</v>
      </c>
      <c r="B529">
        <v>100.536111694917</v>
      </c>
    </row>
    <row r="530" spans="1:2" x14ac:dyDescent="0.25">
      <c r="A530" s="9">
        <v>42898</v>
      </c>
      <c r="B530">
        <v>100.603991703014</v>
      </c>
    </row>
    <row r="531" spans="1:2" x14ac:dyDescent="0.25">
      <c r="A531" s="9">
        <v>42899</v>
      </c>
      <c r="B531">
        <v>100.671770345819</v>
      </c>
    </row>
    <row r="532" spans="1:2" x14ac:dyDescent="0.25">
      <c r="A532" s="9">
        <v>42900</v>
      </c>
      <c r="B532">
        <v>100.740402838452</v>
      </c>
    </row>
    <row r="533" spans="1:2" x14ac:dyDescent="0.25">
      <c r="A533" s="9">
        <v>42901</v>
      </c>
      <c r="B533">
        <v>100.80159825386301</v>
      </c>
    </row>
    <row r="534" spans="1:2" x14ac:dyDescent="0.25">
      <c r="A534" s="9">
        <v>42902</v>
      </c>
      <c r="B534">
        <v>100.873231781139</v>
      </c>
    </row>
    <row r="535" spans="1:2" x14ac:dyDescent="0.25">
      <c r="A535" s="9">
        <v>42903</v>
      </c>
      <c r="B535">
        <v>100.93767007221599</v>
      </c>
    </row>
    <row r="536" spans="1:2" x14ac:dyDescent="0.25">
      <c r="A536" s="9">
        <v>42904</v>
      </c>
      <c r="B536">
        <v>101.00375990501</v>
      </c>
    </row>
    <row r="537" spans="1:2" x14ac:dyDescent="0.25">
      <c r="A537" s="9">
        <v>42905</v>
      </c>
      <c r="B537">
        <v>101.070460250784</v>
      </c>
    </row>
    <row r="538" spans="1:2" x14ac:dyDescent="0.25">
      <c r="A538" s="9">
        <v>42906</v>
      </c>
      <c r="B538">
        <v>101.136086683801</v>
      </c>
    </row>
    <row r="539" spans="1:2" x14ac:dyDescent="0.25">
      <c r="A539" s="9">
        <v>42907</v>
      </c>
      <c r="B539">
        <v>101.20080067743</v>
      </c>
    </row>
    <row r="540" spans="1:2" x14ac:dyDescent="0.25">
      <c r="A540" s="9">
        <v>42908</v>
      </c>
      <c r="B540">
        <v>101.26949301981701</v>
      </c>
    </row>
    <row r="541" spans="1:2" x14ac:dyDescent="0.25">
      <c r="A541" s="9">
        <v>42909</v>
      </c>
      <c r="B541">
        <v>101.336448794329</v>
      </c>
    </row>
    <row r="542" spans="1:2" x14ac:dyDescent="0.25">
      <c r="A542" s="9">
        <v>42910</v>
      </c>
      <c r="B542">
        <v>101.410423845688</v>
      </c>
    </row>
    <row r="543" spans="1:2" x14ac:dyDescent="0.25">
      <c r="A543" s="9">
        <v>42911</v>
      </c>
      <c r="B543">
        <v>101.471989383872</v>
      </c>
    </row>
    <row r="544" spans="1:2" x14ac:dyDescent="0.25">
      <c r="A544" s="9">
        <v>42912</v>
      </c>
      <c r="B544">
        <v>101.544193653336</v>
      </c>
    </row>
    <row r="545" spans="1:2" x14ac:dyDescent="0.25">
      <c r="A545" s="9">
        <v>42913</v>
      </c>
      <c r="B545">
        <v>101.618825035301</v>
      </c>
    </row>
    <row r="546" spans="1:2" x14ac:dyDescent="0.25">
      <c r="A546" s="9">
        <v>42914</v>
      </c>
      <c r="B546">
        <v>101.692754920444</v>
      </c>
    </row>
    <row r="547" spans="1:2" x14ac:dyDescent="0.25">
      <c r="A547" s="9">
        <v>42915</v>
      </c>
      <c r="B547">
        <v>101.761782631984</v>
      </c>
    </row>
    <row r="548" spans="1:2" x14ac:dyDescent="0.25">
      <c r="A548" s="9">
        <v>42916</v>
      </c>
      <c r="B548">
        <v>101.831913840232</v>
      </c>
    </row>
    <row r="549" spans="1:2" x14ac:dyDescent="0.25">
      <c r="A549" s="9">
        <v>42917</v>
      </c>
      <c r="B549">
        <v>101.90240877747701</v>
      </c>
    </row>
    <row r="550" spans="1:2" x14ac:dyDescent="0.25">
      <c r="A550" s="9">
        <v>42918</v>
      </c>
      <c r="B550">
        <v>101.975912292525</v>
      </c>
    </row>
    <row r="551" spans="1:2" x14ac:dyDescent="0.25">
      <c r="A551" s="9">
        <v>42919</v>
      </c>
      <c r="B551">
        <v>102.047332590026</v>
      </c>
    </row>
    <row r="552" spans="1:2" x14ac:dyDescent="0.25">
      <c r="A552" s="9">
        <v>42920</v>
      </c>
      <c r="B552">
        <v>102.113402138162</v>
      </c>
    </row>
    <row r="553" spans="1:2" x14ac:dyDescent="0.25">
      <c r="A553" s="9">
        <v>42921</v>
      </c>
      <c r="B553">
        <v>102.191125110565</v>
      </c>
    </row>
    <row r="554" spans="1:2" x14ac:dyDescent="0.25">
      <c r="A554" s="9">
        <v>42922</v>
      </c>
      <c r="B554">
        <v>102.260572361416</v>
      </c>
    </row>
    <row r="555" spans="1:2" x14ac:dyDescent="0.25">
      <c r="A555" s="9">
        <v>42923</v>
      </c>
      <c r="B555">
        <v>102.325185141822</v>
      </c>
    </row>
    <row r="556" spans="1:2" x14ac:dyDescent="0.25">
      <c r="A556" s="9">
        <v>42924</v>
      </c>
      <c r="B556">
        <v>102.39058440378101</v>
      </c>
    </row>
    <row r="557" spans="1:2" x14ac:dyDescent="0.25">
      <c r="A557" s="9">
        <v>42925</v>
      </c>
      <c r="B557">
        <v>102.463608239644</v>
      </c>
    </row>
    <row r="558" spans="1:2" x14ac:dyDescent="0.25">
      <c r="A558" s="9">
        <v>42926</v>
      </c>
      <c r="B558">
        <v>102.530435854571</v>
      </c>
    </row>
    <row r="559" spans="1:2" x14ac:dyDescent="0.25">
      <c r="A559" s="9">
        <v>42927</v>
      </c>
      <c r="B559">
        <v>102.602127300173</v>
      </c>
    </row>
    <row r="560" spans="1:2" x14ac:dyDescent="0.25">
      <c r="A560" s="9">
        <v>42928</v>
      </c>
      <c r="B560">
        <v>102.68166270210099</v>
      </c>
    </row>
    <row r="561" spans="1:2" x14ac:dyDescent="0.25">
      <c r="A561" s="9">
        <v>42929</v>
      </c>
      <c r="B561">
        <v>102.74170196333399</v>
      </c>
    </row>
    <row r="562" spans="1:2" x14ac:dyDescent="0.25">
      <c r="A562" s="9">
        <v>42930</v>
      </c>
      <c r="B562">
        <v>102.811263883823</v>
      </c>
    </row>
    <row r="563" spans="1:2" x14ac:dyDescent="0.25">
      <c r="A563" s="9">
        <v>42931</v>
      </c>
      <c r="B563">
        <v>102.883054345643</v>
      </c>
    </row>
    <row r="564" spans="1:2" x14ac:dyDescent="0.25">
      <c r="A564" s="9">
        <v>42932</v>
      </c>
      <c r="B564">
        <v>102.950536901913</v>
      </c>
    </row>
    <row r="565" spans="1:2" x14ac:dyDescent="0.25">
      <c r="A565" s="9">
        <v>42933</v>
      </c>
      <c r="B565">
        <v>103.01132640882901</v>
      </c>
    </row>
    <row r="566" spans="1:2" x14ac:dyDescent="0.25">
      <c r="A566" s="9">
        <v>42934</v>
      </c>
      <c r="B566">
        <v>103.07811010419999</v>
      </c>
    </row>
    <row r="567" spans="1:2" x14ac:dyDescent="0.25">
      <c r="A567" s="9">
        <v>42935</v>
      </c>
      <c r="B567">
        <v>103.145663294391</v>
      </c>
    </row>
    <row r="568" spans="1:2" x14ac:dyDescent="0.25">
      <c r="A568" s="9">
        <v>42936</v>
      </c>
      <c r="B568">
        <v>103.21554380759299</v>
      </c>
    </row>
    <row r="569" spans="1:2" x14ac:dyDescent="0.25">
      <c r="A569" s="9">
        <v>42937</v>
      </c>
      <c r="B569">
        <v>103.28434491962599</v>
      </c>
    </row>
    <row r="570" spans="1:2" x14ac:dyDescent="0.25">
      <c r="A570" s="9">
        <v>42938</v>
      </c>
      <c r="B570">
        <v>103.35142395859999</v>
      </c>
    </row>
    <row r="571" spans="1:2" x14ac:dyDescent="0.25">
      <c r="A571" s="9">
        <v>42939</v>
      </c>
      <c r="B571">
        <v>103.42502819204201</v>
      </c>
    </row>
    <row r="572" spans="1:2" x14ac:dyDescent="0.25">
      <c r="A572" s="9">
        <v>42940</v>
      </c>
      <c r="B572">
        <v>103.48643301124901</v>
      </c>
    </row>
    <row r="573" spans="1:2" x14ac:dyDescent="0.25">
      <c r="A573" s="9">
        <v>42941</v>
      </c>
      <c r="B573">
        <v>103.55933338345901</v>
      </c>
    </row>
    <row r="574" spans="1:2" x14ac:dyDescent="0.25">
      <c r="A574" s="9">
        <v>42942</v>
      </c>
      <c r="B574">
        <v>103.62825439542</v>
      </c>
    </row>
    <row r="575" spans="1:2" x14ac:dyDescent="0.25">
      <c r="A575" s="9">
        <v>42943</v>
      </c>
      <c r="B575">
        <v>103.69883330302299</v>
      </c>
    </row>
    <row r="576" spans="1:2" x14ac:dyDescent="0.25">
      <c r="A576" s="9">
        <v>42944</v>
      </c>
      <c r="B576">
        <v>103.771510721602</v>
      </c>
    </row>
    <row r="577" spans="1:2" x14ac:dyDescent="0.25">
      <c r="A577" s="9">
        <v>42945</v>
      </c>
      <c r="B577">
        <v>103.841790532795</v>
      </c>
    </row>
    <row r="578" spans="1:2" x14ac:dyDescent="0.25">
      <c r="A578" s="9">
        <v>42946</v>
      </c>
      <c r="B578">
        <v>103.911549811803</v>
      </c>
    </row>
    <row r="579" spans="1:2" x14ac:dyDescent="0.25">
      <c r="A579" s="9">
        <v>42947</v>
      </c>
      <c r="B579">
        <v>103.983504530543</v>
      </c>
    </row>
    <row r="580" spans="1:2" x14ac:dyDescent="0.25">
      <c r="A580" s="9">
        <v>42948</v>
      </c>
      <c r="B580">
        <v>104.05638622662801</v>
      </c>
    </row>
    <row r="581" spans="1:2" x14ac:dyDescent="0.25">
      <c r="A581" s="9">
        <v>42949</v>
      </c>
      <c r="B581">
        <v>104.12702805414099</v>
      </c>
    </row>
    <row r="582" spans="1:2" x14ac:dyDescent="0.25">
      <c r="A582" s="9">
        <v>42950</v>
      </c>
      <c r="B582">
        <v>104.1967345203</v>
      </c>
    </row>
    <row r="583" spans="1:2" x14ac:dyDescent="0.25">
      <c r="A583" s="9">
        <v>42951</v>
      </c>
      <c r="B583">
        <v>104.270844634013</v>
      </c>
    </row>
    <row r="584" spans="1:2" x14ac:dyDescent="0.25">
      <c r="A584" s="9">
        <v>42952</v>
      </c>
      <c r="B584">
        <v>104.334105027791</v>
      </c>
    </row>
    <row r="585" spans="1:2" x14ac:dyDescent="0.25">
      <c r="A585" s="9">
        <v>42953</v>
      </c>
      <c r="B585">
        <v>104.400351073593</v>
      </c>
    </row>
    <row r="586" spans="1:2" x14ac:dyDescent="0.25">
      <c r="A586" s="9">
        <v>42954</v>
      </c>
      <c r="B586">
        <v>104.46958605425201</v>
      </c>
    </row>
    <row r="587" spans="1:2" x14ac:dyDescent="0.25">
      <c r="A587" s="9">
        <v>42955</v>
      </c>
      <c r="B587">
        <v>104.545707654381</v>
      </c>
    </row>
    <row r="588" spans="1:2" x14ac:dyDescent="0.25">
      <c r="A588" s="9">
        <v>42956</v>
      </c>
      <c r="B588">
        <v>104.61969675893801</v>
      </c>
    </row>
    <row r="589" spans="1:2" x14ac:dyDescent="0.25">
      <c r="A589" s="9">
        <v>42957</v>
      </c>
      <c r="B589">
        <v>104.690842600228</v>
      </c>
    </row>
    <row r="590" spans="1:2" x14ac:dyDescent="0.25">
      <c r="A590" s="9">
        <v>42958</v>
      </c>
      <c r="B590">
        <v>104.770215532629</v>
      </c>
    </row>
    <row r="591" spans="1:2" x14ac:dyDescent="0.25">
      <c r="A591" s="9">
        <v>42959</v>
      </c>
      <c r="B591">
        <v>104.842822860222</v>
      </c>
    </row>
    <row r="592" spans="1:2" x14ac:dyDescent="0.25">
      <c r="A592" s="9">
        <v>42960</v>
      </c>
      <c r="B592">
        <v>104.91498353035</v>
      </c>
    </row>
    <row r="593" spans="1:2" x14ac:dyDescent="0.25">
      <c r="A593" s="9">
        <v>42961</v>
      </c>
      <c r="B593">
        <v>104.99072830146299</v>
      </c>
    </row>
    <row r="594" spans="1:2" x14ac:dyDescent="0.25">
      <c r="A594" s="9">
        <v>42962</v>
      </c>
      <c r="B594">
        <v>105.06054480106999</v>
      </c>
    </row>
    <row r="595" spans="1:2" x14ac:dyDescent="0.25">
      <c r="A595" s="9">
        <v>42963</v>
      </c>
      <c r="B595">
        <v>105.13147611359599</v>
      </c>
    </row>
    <row r="596" spans="1:2" x14ac:dyDescent="0.25">
      <c r="A596" s="9">
        <v>42964</v>
      </c>
      <c r="B596">
        <v>105.199314768422</v>
      </c>
    </row>
    <row r="597" spans="1:2" x14ac:dyDescent="0.25">
      <c r="A597" s="9">
        <v>42965</v>
      </c>
      <c r="B597">
        <v>105.275738646864</v>
      </c>
    </row>
    <row r="598" spans="1:2" x14ac:dyDescent="0.25">
      <c r="A598" s="9">
        <v>42966</v>
      </c>
      <c r="B598">
        <v>105.353726477257</v>
      </c>
    </row>
    <row r="599" spans="1:2" x14ac:dyDescent="0.25">
      <c r="A599" s="9">
        <v>42967</v>
      </c>
      <c r="B599">
        <v>105.424572147726</v>
      </c>
    </row>
    <row r="600" spans="1:2" x14ac:dyDescent="0.25">
      <c r="A600" s="9">
        <v>42968</v>
      </c>
      <c r="B600">
        <v>105.494884760603</v>
      </c>
    </row>
    <row r="601" spans="1:2" x14ac:dyDescent="0.25">
      <c r="A601" s="9">
        <v>42969</v>
      </c>
      <c r="B601">
        <v>105.568501939111</v>
      </c>
    </row>
    <row r="602" spans="1:2" x14ac:dyDescent="0.25">
      <c r="A602" s="9">
        <v>42970</v>
      </c>
      <c r="B602">
        <v>105.645369151678</v>
      </c>
    </row>
    <row r="603" spans="1:2" x14ac:dyDescent="0.25">
      <c r="A603" s="9">
        <v>42971</v>
      </c>
      <c r="B603">
        <v>105.712659142777</v>
      </c>
    </row>
    <row r="604" spans="1:2" x14ac:dyDescent="0.25">
      <c r="A604" s="9">
        <v>42972</v>
      </c>
      <c r="B604">
        <v>105.783228036715</v>
      </c>
    </row>
    <row r="605" spans="1:2" x14ac:dyDescent="0.25">
      <c r="A605" s="9">
        <v>42973</v>
      </c>
      <c r="B605">
        <v>105.858111143983</v>
      </c>
    </row>
    <row r="606" spans="1:2" x14ac:dyDescent="0.25">
      <c r="A606" s="9">
        <v>42974</v>
      </c>
      <c r="B606">
        <v>105.926053891762</v>
      </c>
    </row>
    <row r="607" spans="1:2" x14ac:dyDescent="0.25">
      <c r="A607" s="9">
        <v>42975</v>
      </c>
      <c r="B607">
        <v>105.993850912613</v>
      </c>
    </row>
    <row r="608" spans="1:2" x14ac:dyDescent="0.25">
      <c r="A608" s="9">
        <v>42976</v>
      </c>
      <c r="B608">
        <v>106.06326140776901</v>
      </c>
    </row>
    <row r="609" spans="1:2" x14ac:dyDescent="0.25">
      <c r="A609" s="9">
        <v>42977</v>
      </c>
      <c r="B609">
        <v>106.13591522226599</v>
      </c>
    </row>
    <row r="610" spans="1:2" x14ac:dyDescent="0.25">
      <c r="A610" s="9">
        <v>42978</v>
      </c>
      <c r="B610">
        <v>106.206767495189</v>
      </c>
    </row>
    <row r="611" spans="1:2" x14ac:dyDescent="0.25">
      <c r="A611" s="9">
        <v>42979</v>
      </c>
      <c r="B611">
        <v>106.27923702945201</v>
      </c>
    </row>
    <row r="612" spans="1:2" x14ac:dyDescent="0.25">
      <c r="A612" s="9">
        <v>42980</v>
      </c>
      <c r="B612">
        <v>106.35210704479699</v>
      </c>
    </row>
    <row r="613" spans="1:2" x14ac:dyDescent="0.25">
      <c r="A613" s="9">
        <v>42981</v>
      </c>
      <c r="B613">
        <v>106.423993992785</v>
      </c>
    </row>
    <row r="614" spans="1:2" x14ac:dyDescent="0.25">
      <c r="A614" s="9">
        <v>42982</v>
      </c>
      <c r="B614">
        <v>106.492305141221</v>
      </c>
    </row>
    <row r="615" spans="1:2" x14ac:dyDescent="0.25">
      <c r="A615" s="9">
        <v>42983</v>
      </c>
      <c r="B615">
        <v>106.561546601183</v>
      </c>
    </row>
    <row r="616" spans="1:2" x14ac:dyDescent="0.25">
      <c r="A616" s="9">
        <v>42984</v>
      </c>
      <c r="B616">
        <v>106.633465807283</v>
      </c>
    </row>
    <row r="617" spans="1:2" x14ac:dyDescent="0.25">
      <c r="A617" s="9">
        <v>42985</v>
      </c>
      <c r="B617">
        <v>106.70770172165599</v>
      </c>
    </row>
    <row r="618" spans="1:2" x14ac:dyDescent="0.25">
      <c r="A618" s="9">
        <v>42986</v>
      </c>
      <c r="B618">
        <v>106.773738892023</v>
      </c>
    </row>
    <row r="619" spans="1:2" x14ac:dyDescent="0.25">
      <c r="A619" s="9">
        <v>42987</v>
      </c>
      <c r="B619">
        <v>106.844610141245</v>
      </c>
    </row>
    <row r="620" spans="1:2" x14ac:dyDescent="0.25">
      <c r="A620" s="9">
        <v>42988</v>
      </c>
      <c r="B620">
        <v>106.919559235036</v>
      </c>
    </row>
    <row r="621" spans="1:2" x14ac:dyDescent="0.25">
      <c r="A621" s="9">
        <v>42989</v>
      </c>
      <c r="B621">
        <v>106.99294518385</v>
      </c>
    </row>
    <row r="622" spans="1:2" x14ac:dyDescent="0.25">
      <c r="A622" s="9">
        <v>42990</v>
      </c>
      <c r="B622">
        <v>107.065176245548</v>
      </c>
    </row>
    <row r="623" spans="1:2" x14ac:dyDescent="0.25">
      <c r="A623" s="9">
        <v>42991</v>
      </c>
      <c r="B623">
        <v>107.139278045392</v>
      </c>
    </row>
    <row r="624" spans="1:2" x14ac:dyDescent="0.25">
      <c r="A624" s="9">
        <v>42992</v>
      </c>
      <c r="B624">
        <v>107.207692627941</v>
      </c>
    </row>
    <row r="625" spans="1:2" x14ac:dyDescent="0.25">
      <c r="A625" s="9">
        <v>42993</v>
      </c>
      <c r="B625">
        <v>107.28626925697399</v>
      </c>
    </row>
    <row r="626" spans="1:2" x14ac:dyDescent="0.25">
      <c r="A626" s="9">
        <v>42994</v>
      </c>
      <c r="B626">
        <v>107.362229618749</v>
      </c>
    </row>
    <row r="627" spans="1:2" x14ac:dyDescent="0.25">
      <c r="A627" s="9">
        <v>42995</v>
      </c>
      <c r="B627">
        <v>107.437436042191</v>
      </c>
    </row>
    <row r="628" spans="1:2" x14ac:dyDescent="0.25">
      <c r="A628" s="9">
        <v>42996</v>
      </c>
      <c r="B628">
        <v>107.511274685393</v>
      </c>
    </row>
    <row r="629" spans="1:2" x14ac:dyDescent="0.25">
      <c r="A629" s="9">
        <v>42997</v>
      </c>
      <c r="B629">
        <v>107.583163077053</v>
      </c>
    </row>
    <row r="630" spans="1:2" x14ac:dyDescent="0.25">
      <c r="A630" s="9">
        <v>42998</v>
      </c>
      <c r="B630">
        <v>107.653512969612</v>
      </c>
    </row>
    <row r="631" spans="1:2" x14ac:dyDescent="0.25">
      <c r="A631" s="9">
        <v>42999</v>
      </c>
      <c r="B631">
        <v>107.72873410179101</v>
      </c>
    </row>
    <row r="632" spans="1:2" x14ac:dyDescent="0.25">
      <c r="A632" s="9">
        <v>43000</v>
      </c>
      <c r="B632">
        <v>107.801433759858</v>
      </c>
    </row>
    <row r="633" spans="1:2" x14ac:dyDescent="0.25">
      <c r="A633" s="9">
        <v>43001</v>
      </c>
      <c r="B633">
        <v>107.88306268253901</v>
      </c>
    </row>
    <row r="634" spans="1:2" x14ac:dyDescent="0.25">
      <c r="A634" s="9">
        <v>43002</v>
      </c>
      <c r="B634">
        <v>107.965429713353</v>
      </c>
    </row>
    <row r="635" spans="1:2" x14ac:dyDescent="0.25">
      <c r="A635" s="9">
        <v>43003</v>
      </c>
      <c r="B635">
        <v>108.042348694111</v>
      </c>
    </row>
    <row r="636" spans="1:2" x14ac:dyDescent="0.25">
      <c r="A636" s="9">
        <v>43004</v>
      </c>
      <c r="B636">
        <v>108.121424563213</v>
      </c>
    </row>
    <row r="637" spans="1:2" x14ac:dyDescent="0.25">
      <c r="A637" s="9">
        <v>43005</v>
      </c>
      <c r="B637">
        <v>108.197158210834</v>
      </c>
    </row>
    <row r="638" spans="1:2" x14ac:dyDescent="0.25">
      <c r="A638" s="9">
        <v>43006</v>
      </c>
      <c r="B638">
        <v>108.266363673936</v>
      </c>
    </row>
    <row r="639" spans="1:2" x14ac:dyDescent="0.25">
      <c r="A639" s="9">
        <v>43007</v>
      </c>
      <c r="B639">
        <v>108.337088316899</v>
      </c>
    </row>
    <row r="640" spans="1:2" x14ac:dyDescent="0.25">
      <c r="A640" s="9">
        <v>43008</v>
      </c>
      <c r="B640">
        <v>108.4037336543</v>
      </c>
    </row>
    <row r="641" spans="1:2" x14ac:dyDescent="0.25">
      <c r="A641" s="9">
        <v>43009</v>
      </c>
      <c r="B641">
        <v>108.47716034049201</v>
      </c>
    </row>
    <row r="642" spans="1:2" x14ac:dyDescent="0.25">
      <c r="A642" s="9">
        <v>43010</v>
      </c>
      <c r="B642">
        <v>108.546173302638</v>
      </c>
    </row>
    <row r="643" spans="1:2" x14ac:dyDescent="0.25">
      <c r="A643" s="9">
        <v>43011</v>
      </c>
      <c r="B643">
        <v>108.62428664314299</v>
      </c>
    </row>
    <row r="644" spans="1:2" x14ac:dyDescent="0.25">
      <c r="A644" s="9">
        <v>43012</v>
      </c>
      <c r="B644">
        <v>108.702310573997</v>
      </c>
    </row>
    <row r="645" spans="1:2" x14ac:dyDescent="0.25">
      <c r="A645" s="9">
        <v>43013</v>
      </c>
      <c r="B645">
        <v>108.776977710884</v>
      </c>
    </row>
    <row r="646" spans="1:2" x14ac:dyDescent="0.25">
      <c r="A646" s="9">
        <v>43014</v>
      </c>
      <c r="B646">
        <v>108.84137508521199</v>
      </c>
    </row>
    <row r="647" spans="1:2" x14ac:dyDescent="0.25">
      <c r="A647" s="9">
        <v>43015</v>
      </c>
      <c r="B647">
        <v>108.91599451304</v>
      </c>
    </row>
    <row r="648" spans="1:2" x14ac:dyDescent="0.25">
      <c r="A648" s="9">
        <v>43016</v>
      </c>
      <c r="B648">
        <v>108.99323762077699</v>
      </c>
    </row>
    <row r="649" spans="1:2" x14ac:dyDescent="0.25">
      <c r="A649" s="9">
        <v>43017</v>
      </c>
      <c r="B649">
        <v>109.074705248634</v>
      </c>
    </row>
    <row r="650" spans="1:2" x14ac:dyDescent="0.25">
      <c r="A650" s="9">
        <v>43018</v>
      </c>
      <c r="B650">
        <v>109.15697253629099</v>
      </c>
    </row>
    <row r="651" spans="1:2" x14ac:dyDescent="0.25">
      <c r="A651" s="9">
        <v>43019</v>
      </c>
      <c r="B651">
        <v>109.23445663675</v>
      </c>
    </row>
    <row r="652" spans="1:2" x14ac:dyDescent="0.25">
      <c r="A652" s="9">
        <v>43020</v>
      </c>
      <c r="B652">
        <v>109.311524636618</v>
      </c>
    </row>
    <row r="653" spans="1:2" x14ac:dyDescent="0.25">
      <c r="A653" s="9">
        <v>43021</v>
      </c>
      <c r="B653">
        <v>109.38299263035699</v>
      </c>
    </row>
    <row r="654" spans="1:2" x14ac:dyDescent="0.25">
      <c r="A654" s="9">
        <v>43022</v>
      </c>
      <c r="B654">
        <v>109.45649248432601</v>
      </c>
    </row>
    <row r="655" spans="1:2" x14ac:dyDescent="0.25">
      <c r="A655" s="9">
        <v>43023</v>
      </c>
      <c r="B655">
        <v>109.53562322537999</v>
      </c>
    </row>
    <row r="656" spans="1:2" x14ac:dyDescent="0.25">
      <c r="A656" s="9">
        <v>43024</v>
      </c>
      <c r="B656">
        <v>109.620591037868</v>
      </c>
    </row>
    <row r="657" spans="1:2" x14ac:dyDescent="0.25">
      <c r="A657" s="9">
        <v>43025</v>
      </c>
      <c r="B657">
        <v>109.690992404105</v>
      </c>
    </row>
    <row r="658" spans="1:2" x14ac:dyDescent="0.25">
      <c r="A658" s="9">
        <v>43026</v>
      </c>
      <c r="B658">
        <v>109.768060324613</v>
      </c>
    </row>
    <row r="659" spans="1:2" x14ac:dyDescent="0.25">
      <c r="A659" s="9">
        <v>43027</v>
      </c>
      <c r="B659">
        <v>109.842484544192</v>
      </c>
    </row>
    <row r="660" spans="1:2" x14ac:dyDescent="0.25">
      <c r="A660" s="9">
        <v>43028</v>
      </c>
      <c r="B660">
        <v>109.91947616490501</v>
      </c>
    </row>
    <row r="661" spans="1:2" x14ac:dyDescent="0.25">
      <c r="A661" s="9">
        <v>43029</v>
      </c>
      <c r="B661">
        <v>110.000577640987</v>
      </c>
    </row>
    <row r="662" spans="1:2" x14ac:dyDescent="0.25">
      <c r="A662" s="9">
        <v>43030</v>
      </c>
      <c r="B662">
        <v>110.072406239773</v>
      </c>
    </row>
    <row r="663" spans="1:2" x14ac:dyDescent="0.25">
      <c r="A663" s="9">
        <v>43031</v>
      </c>
      <c r="B663">
        <v>110.147327558531</v>
      </c>
    </row>
    <row r="664" spans="1:2" x14ac:dyDescent="0.25">
      <c r="A664" s="9">
        <v>43032</v>
      </c>
      <c r="B664">
        <v>110.218447461724</v>
      </c>
    </row>
    <row r="665" spans="1:2" x14ac:dyDescent="0.25">
      <c r="A665" s="9">
        <v>43033</v>
      </c>
      <c r="B665">
        <v>110.29716841632199</v>
      </c>
    </row>
    <row r="666" spans="1:2" x14ac:dyDescent="0.25">
      <c r="A666" s="9">
        <v>43034</v>
      </c>
      <c r="B666">
        <v>110.379286609128</v>
      </c>
    </row>
    <row r="667" spans="1:2" x14ac:dyDescent="0.25">
      <c r="A667" s="9">
        <v>43035</v>
      </c>
      <c r="B667">
        <v>110.45528456091699</v>
      </c>
    </row>
    <row r="668" spans="1:2" x14ac:dyDescent="0.25">
      <c r="A668" s="9">
        <v>43036</v>
      </c>
      <c r="B668">
        <v>110.530781251916</v>
      </c>
    </row>
    <row r="669" spans="1:2" x14ac:dyDescent="0.25">
      <c r="A669" s="9">
        <v>43037</v>
      </c>
      <c r="B669">
        <v>110.608009701155</v>
      </c>
    </row>
    <row r="670" spans="1:2" x14ac:dyDescent="0.25">
      <c r="A670" s="9">
        <v>43038</v>
      </c>
      <c r="B670">
        <v>110.691234088012</v>
      </c>
    </row>
    <row r="671" spans="1:2" x14ac:dyDescent="0.25">
      <c r="A671" s="9">
        <v>43039</v>
      </c>
      <c r="B671">
        <v>110.77118566118401</v>
      </c>
    </row>
    <row r="672" spans="1:2" x14ac:dyDescent="0.25">
      <c r="A672" s="9">
        <v>43040</v>
      </c>
      <c r="B672">
        <v>110.845532966541</v>
      </c>
    </row>
    <row r="673" spans="1:2" x14ac:dyDescent="0.25">
      <c r="A673" s="9">
        <v>43041</v>
      </c>
      <c r="B673">
        <v>110.918720612751</v>
      </c>
    </row>
    <row r="674" spans="1:2" x14ac:dyDescent="0.25">
      <c r="A674" s="9">
        <v>43042</v>
      </c>
      <c r="B674">
        <v>110.991320409427</v>
      </c>
    </row>
    <row r="675" spans="1:2" x14ac:dyDescent="0.25">
      <c r="A675" s="9">
        <v>43043</v>
      </c>
      <c r="B675">
        <v>111.072051832133</v>
      </c>
    </row>
    <row r="676" spans="1:2" x14ac:dyDescent="0.25">
      <c r="A676" s="9">
        <v>43044</v>
      </c>
      <c r="B676">
        <v>111.148891922356</v>
      </c>
    </row>
    <row r="677" spans="1:2" x14ac:dyDescent="0.25">
      <c r="A677" s="9">
        <v>43045</v>
      </c>
      <c r="B677">
        <v>111.228417208148</v>
      </c>
    </row>
    <row r="678" spans="1:2" x14ac:dyDescent="0.25">
      <c r="A678" s="9">
        <v>43046</v>
      </c>
      <c r="B678">
        <v>111.305050418023</v>
      </c>
    </row>
    <row r="679" spans="1:2" x14ac:dyDescent="0.25">
      <c r="A679" s="9">
        <v>43047</v>
      </c>
      <c r="B679">
        <v>111.385739605456</v>
      </c>
    </row>
    <row r="680" spans="1:2" x14ac:dyDescent="0.25">
      <c r="A680" s="9">
        <v>43048</v>
      </c>
      <c r="B680">
        <v>111.46059759591699</v>
      </c>
    </row>
    <row r="681" spans="1:2" x14ac:dyDescent="0.25">
      <c r="A681" s="9">
        <v>43049</v>
      </c>
      <c r="B681">
        <v>111.540880394688</v>
      </c>
    </row>
    <row r="682" spans="1:2" x14ac:dyDescent="0.25">
      <c r="A682" s="9">
        <v>43050</v>
      </c>
      <c r="B682">
        <v>111.61659146917</v>
      </c>
    </row>
    <row r="683" spans="1:2" x14ac:dyDescent="0.25">
      <c r="A683" s="9">
        <v>43051</v>
      </c>
      <c r="B683">
        <v>111.68918784365</v>
      </c>
    </row>
    <row r="684" spans="1:2" x14ac:dyDescent="0.25">
      <c r="A684" s="9">
        <v>43052</v>
      </c>
      <c r="B684">
        <v>111.765911239435</v>
      </c>
    </row>
    <row r="685" spans="1:2" x14ac:dyDescent="0.25">
      <c r="A685" s="9">
        <v>43053</v>
      </c>
      <c r="B685">
        <v>111.84580602579</v>
      </c>
    </row>
    <row r="686" spans="1:2" x14ac:dyDescent="0.25">
      <c r="A686" s="9">
        <v>43054</v>
      </c>
      <c r="B686">
        <v>111.924372497747</v>
      </c>
    </row>
    <row r="687" spans="1:2" x14ac:dyDescent="0.25">
      <c r="A687" s="9">
        <v>43055</v>
      </c>
      <c r="B687">
        <v>111.999551667316</v>
      </c>
    </row>
    <row r="688" spans="1:2" x14ac:dyDescent="0.25">
      <c r="A688" s="9">
        <v>43056</v>
      </c>
      <c r="B688">
        <v>112.07664859665</v>
      </c>
    </row>
    <row r="689" spans="1:2" x14ac:dyDescent="0.25">
      <c r="A689" s="9">
        <v>43057</v>
      </c>
      <c r="B689">
        <v>112.16056505837101</v>
      </c>
    </row>
    <row r="690" spans="1:2" x14ac:dyDescent="0.25">
      <c r="A690" s="9">
        <v>43058</v>
      </c>
      <c r="B690">
        <v>112.236549260044</v>
      </c>
    </row>
    <row r="691" spans="1:2" x14ac:dyDescent="0.25">
      <c r="A691" s="9">
        <v>43059</v>
      </c>
      <c r="B691">
        <v>112.308574144787</v>
      </c>
    </row>
    <row r="692" spans="1:2" x14ac:dyDescent="0.25">
      <c r="A692" s="9">
        <v>43060</v>
      </c>
      <c r="B692">
        <v>112.38608990216299</v>
      </c>
    </row>
    <row r="693" spans="1:2" x14ac:dyDescent="0.25">
      <c r="A693" s="9">
        <v>43061</v>
      </c>
      <c r="B693">
        <v>112.45997312991</v>
      </c>
    </row>
    <row r="694" spans="1:2" x14ac:dyDescent="0.25">
      <c r="A694" s="9">
        <v>43062</v>
      </c>
      <c r="B694">
        <v>112.547361836514</v>
      </c>
    </row>
    <row r="695" spans="1:2" x14ac:dyDescent="0.25">
      <c r="A695" s="9">
        <v>43063</v>
      </c>
      <c r="B695">
        <v>112.629249001446</v>
      </c>
    </row>
    <row r="696" spans="1:2" x14ac:dyDescent="0.25">
      <c r="A696" s="9">
        <v>43064</v>
      </c>
      <c r="B696">
        <v>112.710894112185</v>
      </c>
    </row>
    <row r="697" spans="1:2" x14ac:dyDescent="0.25">
      <c r="A697" s="9">
        <v>43065</v>
      </c>
      <c r="B697">
        <v>112.78411970268201</v>
      </c>
    </row>
    <row r="698" spans="1:2" x14ac:dyDescent="0.25">
      <c r="A698" s="9">
        <v>43066</v>
      </c>
      <c r="B698">
        <v>112.86717210668</v>
      </c>
    </row>
    <row r="699" spans="1:2" x14ac:dyDescent="0.25">
      <c r="A699" s="9">
        <v>43067</v>
      </c>
      <c r="B699">
        <v>112.93706380526299</v>
      </c>
    </row>
    <row r="700" spans="1:2" x14ac:dyDescent="0.25">
      <c r="A700" s="9">
        <v>43068</v>
      </c>
      <c r="B700">
        <v>113.01288206138</v>
      </c>
    </row>
    <row r="701" spans="1:2" x14ac:dyDescent="0.25">
      <c r="A701" s="9">
        <v>43069</v>
      </c>
      <c r="B701">
        <v>113.082683653554</v>
      </c>
    </row>
    <row r="702" spans="1:2" x14ac:dyDescent="0.25">
      <c r="A702" s="9">
        <v>43070</v>
      </c>
      <c r="B702">
        <v>113.15506610779801</v>
      </c>
    </row>
    <row r="703" spans="1:2" x14ac:dyDescent="0.25">
      <c r="A703" s="9">
        <v>43071</v>
      </c>
      <c r="B703">
        <v>113.23644848508999</v>
      </c>
    </row>
    <row r="704" spans="1:2" x14ac:dyDescent="0.25">
      <c r="A704" s="9">
        <v>43072</v>
      </c>
      <c r="B704">
        <v>113.312731170693</v>
      </c>
    </row>
    <row r="705" spans="1:2" x14ac:dyDescent="0.25">
      <c r="A705" s="9">
        <v>43073</v>
      </c>
      <c r="B705">
        <v>113.382878091384</v>
      </c>
    </row>
    <row r="706" spans="1:2" x14ac:dyDescent="0.25">
      <c r="A706" s="9">
        <v>43074</v>
      </c>
      <c r="B706">
        <v>113.460194732932</v>
      </c>
    </row>
    <row r="707" spans="1:2" x14ac:dyDescent="0.25">
      <c r="A707" s="9">
        <v>43075</v>
      </c>
      <c r="B707">
        <v>113.537797630095</v>
      </c>
    </row>
    <row r="708" spans="1:2" x14ac:dyDescent="0.25">
      <c r="A708" s="9">
        <v>43076</v>
      </c>
      <c r="B708">
        <v>113.615458385491</v>
      </c>
    </row>
    <row r="709" spans="1:2" x14ac:dyDescent="0.25">
      <c r="A709" s="9">
        <v>43077</v>
      </c>
      <c r="B709">
        <v>113.682832606587</v>
      </c>
    </row>
    <row r="710" spans="1:2" x14ac:dyDescent="0.25">
      <c r="A710" s="9">
        <v>43078</v>
      </c>
      <c r="B710">
        <v>113.762530085048</v>
      </c>
    </row>
    <row r="711" spans="1:2" x14ac:dyDescent="0.25">
      <c r="A711" s="9">
        <v>43079</v>
      </c>
      <c r="B711">
        <v>113.836055861456</v>
      </c>
    </row>
    <row r="712" spans="1:2" x14ac:dyDescent="0.25">
      <c r="A712" s="9">
        <v>43080</v>
      </c>
      <c r="B712">
        <v>113.917915533499</v>
      </c>
    </row>
    <row r="713" spans="1:2" x14ac:dyDescent="0.25">
      <c r="A713" s="9">
        <v>43081</v>
      </c>
      <c r="B713">
        <v>113.992059689966</v>
      </c>
    </row>
    <row r="714" spans="1:2" x14ac:dyDescent="0.25">
      <c r="A714" s="9">
        <v>43082</v>
      </c>
      <c r="B714">
        <v>114.071288601003</v>
      </c>
    </row>
    <row r="715" spans="1:2" x14ac:dyDescent="0.25">
      <c r="A715" s="9">
        <v>43083</v>
      </c>
      <c r="B715">
        <v>114.14804119269</v>
      </c>
    </row>
    <row r="716" spans="1:2" x14ac:dyDescent="0.25">
      <c r="A716" s="9">
        <v>43084</v>
      </c>
      <c r="B716">
        <v>114.225971795692</v>
      </c>
    </row>
    <row r="717" spans="1:2" x14ac:dyDescent="0.25">
      <c r="A717" s="9">
        <v>43085</v>
      </c>
      <c r="B717">
        <v>114.307384008574</v>
      </c>
    </row>
    <row r="718" spans="1:2" x14ac:dyDescent="0.25">
      <c r="A718" s="9">
        <v>43086</v>
      </c>
      <c r="B718">
        <v>114.385107870384</v>
      </c>
    </row>
    <row r="719" spans="1:2" x14ac:dyDescent="0.25">
      <c r="A719" s="9">
        <v>43087</v>
      </c>
      <c r="B719">
        <v>114.475810532029</v>
      </c>
    </row>
    <row r="720" spans="1:2" x14ac:dyDescent="0.25">
      <c r="A720" s="9">
        <v>43088</v>
      </c>
      <c r="B720">
        <v>114.559984502666</v>
      </c>
    </row>
    <row r="721" spans="1:2" x14ac:dyDescent="0.25">
      <c r="A721" s="9">
        <v>43089</v>
      </c>
      <c r="B721">
        <v>114.64251263115401</v>
      </c>
    </row>
    <row r="722" spans="1:2" x14ac:dyDescent="0.25">
      <c r="A722" s="9">
        <v>43090</v>
      </c>
      <c r="B722">
        <v>114.722293776706</v>
      </c>
    </row>
    <row r="723" spans="1:2" x14ac:dyDescent="0.25">
      <c r="A723" s="9">
        <v>43091</v>
      </c>
      <c r="B723">
        <v>114.795624023728</v>
      </c>
    </row>
    <row r="724" spans="1:2" x14ac:dyDescent="0.25">
      <c r="A724" s="9">
        <v>43092</v>
      </c>
      <c r="B724">
        <v>114.87198278427999</v>
      </c>
    </row>
    <row r="725" spans="1:2" x14ac:dyDescent="0.25">
      <c r="A725" s="9">
        <v>43093</v>
      </c>
      <c r="B725">
        <v>114.95600641918099</v>
      </c>
    </row>
    <row r="726" spans="1:2" x14ac:dyDescent="0.25">
      <c r="A726" s="9">
        <v>43094</v>
      </c>
      <c r="B726">
        <v>115.036389336539</v>
      </c>
    </row>
    <row r="727" spans="1:2" x14ac:dyDescent="0.25">
      <c r="A727" s="9">
        <v>43095</v>
      </c>
      <c r="B727">
        <v>115.12451676253799</v>
      </c>
    </row>
    <row r="728" spans="1:2" x14ac:dyDescent="0.25">
      <c r="A728" s="9">
        <v>43096</v>
      </c>
      <c r="B728">
        <v>115.206590216821</v>
      </c>
    </row>
    <row r="729" spans="1:2" x14ac:dyDescent="0.25">
      <c r="A729" s="9">
        <v>43097</v>
      </c>
      <c r="B729">
        <v>115.288276450788</v>
      </c>
    </row>
    <row r="730" spans="1:2" x14ac:dyDescent="0.25">
      <c r="A730" s="9">
        <v>43098</v>
      </c>
      <c r="B730">
        <v>115.36816768782499</v>
      </c>
    </row>
    <row r="731" spans="1:2" x14ac:dyDescent="0.25">
      <c r="A731" s="9">
        <v>43099</v>
      </c>
      <c r="B731">
        <v>115.44567973831001</v>
      </c>
    </row>
    <row r="732" spans="1:2" x14ac:dyDescent="0.25">
      <c r="A732" s="9">
        <v>43100</v>
      </c>
      <c r="B732">
        <v>115.521262432158</v>
      </c>
    </row>
    <row r="733" spans="1:2" x14ac:dyDescent="0.25">
      <c r="A733" s="9">
        <v>43101</v>
      </c>
      <c r="B733">
        <v>115.600695712777</v>
      </c>
    </row>
    <row r="734" spans="1:2" x14ac:dyDescent="0.25">
      <c r="A734" s="9">
        <v>43102</v>
      </c>
      <c r="B734">
        <v>115.679921353201</v>
      </c>
    </row>
    <row r="735" spans="1:2" x14ac:dyDescent="0.25">
      <c r="A735" s="9">
        <v>43103</v>
      </c>
      <c r="B735">
        <v>115.758434879639</v>
      </c>
    </row>
    <row r="736" spans="1:2" x14ac:dyDescent="0.25">
      <c r="A736" s="9">
        <v>43104</v>
      </c>
      <c r="B736">
        <v>115.84314656490901</v>
      </c>
    </row>
    <row r="737" spans="1:2" x14ac:dyDescent="0.25">
      <c r="A737" s="9">
        <v>43105</v>
      </c>
      <c r="B737">
        <v>115.920464713462</v>
      </c>
    </row>
    <row r="738" spans="1:2" x14ac:dyDescent="0.25">
      <c r="A738" s="9">
        <v>43106</v>
      </c>
      <c r="B738">
        <v>115.997284172295</v>
      </c>
    </row>
    <row r="739" spans="1:2" x14ac:dyDescent="0.25">
      <c r="A739" s="9">
        <v>43107</v>
      </c>
      <c r="B739">
        <v>116.071797815225</v>
      </c>
    </row>
    <row r="740" spans="1:2" x14ac:dyDescent="0.25">
      <c r="A740" s="9">
        <v>43108</v>
      </c>
      <c r="B740">
        <v>116.151869866147</v>
      </c>
    </row>
    <row r="741" spans="1:2" x14ac:dyDescent="0.25">
      <c r="A741" s="9">
        <v>43109</v>
      </c>
      <c r="B741">
        <v>116.227954452929</v>
      </c>
    </row>
    <row r="742" spans="1:2" x14ac:dyDescent="0.25">
      <c r="A742" s="9">
        <v>43110</v>
      </c>
      <c r="B742">
        <v>116.31191143145099</v>
      </c>
    </row>
    <row r="743" spans="1:2" x14ac:dyDescent="0.25">
      <c r="A743" s="9">
        <v>43111</v>
      </c>
      <c r="B743">
        <v>116.39393551063699</v>
      </c>
    </row>
    <row r="744" spans="1:2" x14ac:dyDescent="0.25">
      <c r="A744" s="9">
        <v>43112</v>
      </c>
      <c r="B744">
        <v>116.47011867937699</v>
      </c>
    </row>
    <row r="745" spans="1:2" x14ac:dyDescent="0.25">
      <c r="A745" s="9">
        <v>43113</v>
      </c>
      <c r="B745">
        <v>116.543219707671</v>
      </c>
    </row>
    <row r="746" spans="1:2" x14ac:dyDescent="0.25">
      <c r="A746" s="9">
        <v>43114</v>
      </c>
      <c r="B746">
        <v>116.61931839866899</v>
      </c>
    </row>
    <row r="747" spans="1:2" x14ac:dyDescent="0.25">
      <c r="A747" s="9">
        <v>43115</v>
      </c>
      <c r="B747">
        <v>116.703888471113</v>
      </c>
    </row>
    <row r="748" spans="1:2" x14ac:dyDescent="0.25">
      <c r="A748" s="9">
        <v>43116</v>
      </c>
      <c r="B748">
        <v>116.781038876834</v>
      </c>
    </row>
    <row r="749" spans="1:2" x14ac:dyDescent="0.25">
      <c r="A749" s="9">
        <v>43117</v>
      </c>
      <c r="B749">
        <v>116.870225613717</v>
      </c>
    </row>
    <row r="750" spans="1:2" x14ac:dyDescent="0.25">
      <c r="A750" s="9">
        <v>43118</v>
      </c>
      <c r="B750">
        <v>116.949682677418</v>
      </c>
    </row>
    <row r="751" spans="1:2" x14ac:dyDescent="0.25">
      <c r="A751" s="9">
        <v>43119</v>
      </c>
      <c r="B751">
        <v>117.03773339519201</v>
      </c>
    </row>
    <row r="752" spans="1:2" x14ac:dyDescent="0.25">
      <c r="A752" s="9">
        <v>43120</v>
      </c>
      <c r="B752">
        <v>117.11555109056501</v>
      </c>
    </row>
    <row r="753" spans="1:2" x14ac:dyDescent="0.25">
      <c r="A753" s="9">
        <v>43121</v>
      </c>
      <c r="B753">
        <v>117.190260719951</v>
      </c>
    </row>
    <row r="754" spans="1:2" x14ac:dyDescent="0.25">
      <c r="A754" s="9">
        <v>43122</v>
      </c>
      <c r="B754">
        <v>117.27081291860399</v>
      </c>
    </row>
    <row r="755" spans="1:2" x14ac:dyDescent="0.25">
      <c r="A755" s="9">
        <v>43123</v>
      </c>
      <c r="B755">
        <v>117.34799872808399</v>
      </c>
    </row>
    <row r="756" spans="1:2" x14ac:dyDescent="0.25">
      <c r="A756" s="9">
        <v>43124</v>
      </c>
      <c r="B756">
        <v>117.420989478561</v>
      </c>
    </row>
    <row r="757" spans="1:2" x14ac:dyDescent="0.25">
      <c r="A757" s="9">
        <v>43125</v>
      </c>
      <c r="B757">
        <v>117.50006120609901</v>
      </c>
    </row>
    <row r="758" spans="1:2" x14ac:dyDescent="0.25">
      <c r="A758" s="9">
        <v>43126</v>
      </c>
      <c r="B758">
        <v>117.578582818176</v>
      </c>
    </row>
    <row r="759" spans="1:2" x14ac:dyDescent="0.25">
      <c r="A759" s="9">
        <v>43127</v>
      </c>
      <c r="B759">
        <v>117.666821743189</v>
      </c>
    </row>
    <row r="760" spans="1:2" x14ac:dyDescent="0.25">
      <c r="A760" s="9">
        <v>43128</v>
      </c>
      <c r="B760">
        <v>117.74439033220401</v>
      </c>
    </row>
    <row r="761" spans="1:2" x14ac:dyDescent="0.25">
      <c r="A761" s="9">
        <v>43129</v>
      </c>
      <c r="B761">
        <v>117.83039562904</v>
      </c>
    </row>
    <row r="762" spans="1:2" x14ac:dyDescent="0.25">
      <c r="A762" s="9">
        <v>43130</v>
      </c>
      <c r="B762">
        <v>117.90647367897699</v>
      </c>
    </row>
    <row r="763" spans="1:2" x14ac:dyDescent="0.25">
      <c r="A763" s="9">
        <v>43131</v>
      </c>
      <c r="B763">
        <v>117.992790066029</v>
      </c>
    </row>
    <row r="764" spans="1:2" x14ac:dyDescent="0.25">
      <c r="A764" s="9">
        <v>43132</v>
      </c>
      <c r="B764">
        <v>118.07991127704101</v>
      </c>
    </row>
    <row r="765" spans="1:2" x14ac:dyDescent="0.25">
      <c r="A765" s="9">
        <v>43133</v>
      </c>
      <c r="B765">
        <v>118.16521806658599</v>
      </c>
    </row>
    <row r="766" spans="1:2" x14ac:dyDescent="0.25">
      <c r="A766" s="9">
        <v>43134</v>
      </c>
      <c r="B766">
        <v>118.25181255311099</v>
      </c>
    </row>
    <row r="767" spans="1:2" x14ac:dyDescent="0.25">
      <c r="A767" s="9">
        <v>43135</v>
      </c>
      <c r="B767">
        <v>118.315534411455</v>
      </c>
    </row>
    <row r="768" spans="1:2" x14ac:dyDescent="0.25">
      <c r="A768" s="9">
        <v>43136</v>
      </c>
      <c r="B768">
        <v>118.400626791216</v>
      </c>
    </row>
    <row r="769" spans="1:2" x14ac:dyDescent="0.25">
      <c r="A769" s="9">
        <v>43137</v>
      </c>
      <c r="B769">
        <v>118.483155234965</v>
      </c>
    </row>
    <row r="770" spans="1:2" x14ac:dyDescent="0.25">
      <c r="A770" s="9">
        <v>43138</v>
      </c>
      <c r="B770">
        <v>118.567193457139</v>
      </c>
    </row>
    <row r="771" spans="1:2" x14ac:dyDescent="0.25">
      <c r="A771" s="9">
        <v>43139</v>
      </c>
      <c r="B771">
        <v>118.642350516121</v>
      </c>
    </row>
    <row r="772" spans="1:2" x14ac:dyDescent="0.25">
      <c r="A772" s="9">
        <v>43140</v>
      </c>
      <c r="B772">
        <v>118.72038782169901</v>
      </c>
    </row>
    <row r="773" spans="1:2" x14ac:dyDescent="0.25">
      <c r="A773" s="9">
        <v>43141</v>
      </c>
      <c r="B773">
        <v>118.80505129381299</v>
      </c>
    </row>
    <row r="774" spans="1:2" x14ac:dyDescent="0.25">
      <c r="A774" s="9">
        <v>43142</v>
      </c>
      <c r="B774">
        <v>118.882669936642</v>
      </c>
    </row>
    <row r="775" spans="1:2" x14ac:dyDescent="0.25">
      <c r="A775" s="9">
        <v>43143</v>
      </c>
      <c r="B775">
        <v>118.96168527272999</v>
      </c>
    </row>
    <row r="776" spans="1:2" x14ac:dyDescent="0.25">
      <c r="A776" s="9">
        <v>43144</v>
      </c>
      <c r="B776">
        <v>119.03655465560099</v>
      </c>
    </row>
    <row r="777" spans="1:2" x14ac:dyDescent="0.25">
      <c r="A777" s="9">
        <v>43145</v>
      </c>
      <c r="B777">
        <v>119.10760593320499</v>
      </c>
    </row>
    <row r="778" spans="1:2" x14ac:dyDescent="0.25">
      <c r="A778" s="9">
        <v>43146</v>
      </c>
      <c r="B778">
        <v>119.199239736699</v>
      </c>
    </row>
    <row r="779" spans="1:2" x14ac:dyDescent="0.25">
      <c r="A779" s="9">
        <v>43147</v>
      </c>
      <c r="B779">
        <v>119.276315746522</v>
      </c>
    </row>
    <row r="780" spans="1:2" x14ac:dyDescent="0.25">
      <c r="A780" s="9">
        <v>43148</v>
      </c>
      <c r="B780">
        <v>119.36264364591899</v>
      </c>
    </row>
    <row r="781" spans="1:2" x14ac:dyDescent="0.25">
      <c r="A781" s="9">
        <v>43149</v>
      </c>
      <c r="B781">
        <v>119.443127991487</v>
      </c>
    </row>
    <row r="782" spans="1:2" x14ac:dyDescent="0.25">
      <c r="A782" s="9">
        <v>43150</v>
      </c>
      <c r="B782">
        <v>119.52024059643701</v>
      </c>
    </row>
    <row r="783" spans="1:2" x14ac:dyDescent="0.25">
      <c r="A783" s="9">
        <v>43151</v>
      </c>
      <c r="B783">
        <v>119.60266960668</v>
      </c>
    </row>
    <row r="784" spans="1:2" x14ac:dyDescent="0.25">
      <c r="A784" s="9">
        <v>43152</v>
      </c>
      <c r="B784">
        <v>119.69566802736399</v>
      </c>
    </row>
    <row r="785" spans="1:2" x14ac:dyDescent="0.25">
      <c r="A785" s="9">
        <v>43153</v>
      </c>
      <c r="B785">
        <v>119.77782746099599</v>
      </c>
    </row>
    <row r="786" spans="1:2" x14ac:dyDescent="0.25">
      <c r="A786" s="9">
        <v>43154</v>
      </c>
      <c r="B786">
        <v>119.85919665407501</v>
      </c>
    </row>
    <row r="787" spans="1:2" x14ac:dyDescent="0.25">
      <c r="A787" s="9">
        <v>43155</v>
      </c>
      <c r="B787">
        <v>119.93846198027499</v>
      </c>
    </row>
    <row r="788" spans="1:2" x14ac:dyDescent="0.25">
      <c r="A788" s="9">
        <v>43156</v>
      </c>
      <c r="B788">
        <v>120.02676427966701</v>
      </c>
    </row>
    <row r="789" spans="1:2" x14ac:dyDescent="0.25">
      <c r="A789" s="9">
        <v>43157</v>
      </c>
      <c r="B789">
        <v>120.10963992982001</v>
      </c>
    </row>
    <row r="790" spans="1:2" x14ac:dyDescent="0.25">
      <c r="A790" s="9">
        <v>43158</v>
      </c>
      <c r="B790">
        <v>120.196719442258</v>
      </c>
    </row>
    <row r="791" spans="1:2" x14ac:dyDescent="0.25">
      <c r="A791" s="9">
        <v>43159</v>
      </c>
      <c r="B791">
        <v>120.288719142985</v>
      </c>
    </row>
    <row r="792" spans="1:2" x14ac:dyDescent="0.25">
      <c r="A792" s="9">
        <v>43160</v>
      </c>
      <c r="B792">
        <v>120.367075038815</v>
      </c>
    </row>
    <row r="793" spans="1:2" x14ac:dyDescent="0.25">
      <c r="A793" s="9">
        <v>43161</v>
      </c>
      <c r="B793">
        <v>120.453382592411</v>
      </c>
    </row>
    <row r="794" spans="1:2" x14ac:dyDescent="0.25">
      <c r="A794" s="9">
        <v>43162</v>
      </c>
      <c r="B794">
        <v>120.536324055123</v>
      </c>
    </row>
    <row r="795" spans="1:2" x14ac:dyDescent="0.25">
      <c r="A795" s="9">
        <v>43163</v>
      </c>
      <c r="B795">
        <v>120.624814868347</v>
      </c>
    </row>
    <row r="796" spans="1:2" x14ac:dyDescent="0.25">
      <c r="A796" s="9">
        <v>43164</v>
      </c>
      <c r="B796">
        <v>120.703946554038</v>
      </c>
    </row>
    <row r="797" spans="1:2" x14ac:dyDescent="0.25">
      <c r="A797" s="9">
        <v>43165</v>
      </c>
      <c r="B797">
        <v>120.78128454959599</v>
      </c>
    </row>
    <row r="798" spans="1:2" x14ac:dyDescent="0.25">
      <c r="A798" s="9">
        <v>43166</v>
      </c>
      <c r="B798">
        <v>120.86206293526099</v>
      </c>
    </row>
    <row r="799" spans="1:2" x14ac:dyDescent="0.25">
      <c r="A799" s="9">
        <v>43167</v>
      </c>
      <c r="B799">
        <v>120.94776623870899</v>
      </c>
    </row>
    <row r="800" spans="1:2" x14ac:dyDescent="0.25">
      <c r="A800" s="9">
        <v>43168</v>
      </c>
      <c r="B800">
        <v>121.033906044364</v>
      </c>
    </row>
    <row r="801" spans="1:2" x14ac:dyDescent="0.25">
      <c r="A801" s="9">
        <v>43169</v>
      </c>
      <c r="B801">
        <v>121.107945385741</v>
      </c>
    </row>
    <row r="802" spans="1:2" x14ac:dyDescent="0.25">
      <c r="A802" s="9">
        <v>43170</v>
      </c>
      <c r="B802">
        <v>121.19150121094199</v>
      </c>
    </row>
    <row r="803" spans="1:2" x14ac:dyDescent="0.25">
      <c r="A803" s="9">
        <v>43171</v>
      </c>
      <c r="B803">
        <v>121.27787216238001</v>
      </c>
    </row>
    <row r="804" spans="1:2" x14ac:dyDescent="0.25">
      <c r="A804" s="9">
        <v>43172</v>
      </c>
      <c r="B804">
        <v>121.36233500553</v>
      </c>
    </row>
    <row r="805" spans="1:2" x14ac:dyDescent="0.25">
      <c r="A805" s="9">
        <v>43173</v>
      </c>
      <c r="B805">
        <v>121.445891293922</v>
      </c>
    </row>
    <row r="806" spans="1:2" x14ac:dyDescent="0.25">
      <c r="A806" s="9">
        <v>43174</v>
      </c>
      <c r="B806">
        <v>121.53134006435801</v>
      </c>
    </row>
    <row r="807" spans="1:2" x14ac:dyDescent="0.25">
      <c r="A807" s="9">
        <v>43175</v>
      </c>
      <c r="B807">
        <v>121.61147684761301</v>
      </c>
    </row>
    <row r="808" spans="1:2" x14ac:dyDescent="0.25">
      <c r="A808" s="9">
        <v>43176</v>
      </c>
      <c r="B808">
        <v>121.694484505017</v>
      </c>
    </row>
    <row r="809" spans="1:2" x14ac:dyDescent="0.25">
      <c r="A809" s="9">
        <v>43177</v>
      </c>
      <c r="B809">
        <v>121.778672200716</v>
      </c>
    </row>
    <row r="810" spans="1:2" x14ac:dyDescent="0.25">
      <c r="A810" s="9">
        <v>43178</v>
      </c>
      <c r="B810">
        <v>121.870169756927</v>
      </c>
    </row>
    <row r="811" spans="1:2" x14ac:dyDescent="0.25">
      <c r="A811" s="9">
        <v>43179</v>
      </c>
      <c r="B811">
        <v>121.959809487909</v>
      </c>
    </row>
    <row r="812" spans="1:2" x14ac:dyDescent="0.25">
      <c r="A812" s="9">
        <v>43180</v>
      </c>
      <c r="B812">
        <v>122.04436501263601</v>
      </c>
    </row>
    <row r="813" spans="1:2" x14ac:dyDescent="0.25">
      <c r="A813" s="9">
        <v>43181</v>
      </c>
      <c r="B813">
        <v>122.127264122474</v>
      </c>
    </row>
    <row r="814" spans="1:2" x14ac:dyDescent="0.25">
      <c r="A814" s="9">
        <v>43182</v>
      </c>
      <c r="B814">
        <v>122.21127931122101</v>
      </c>
    </row>
    <row r="815" spans="1:2" x14ac:dyDescent="0.25">
      <c r="A815" s="9">
        <v>43183</v>
      </c>
      <c r="B815">
        <v>122.295576801238</v>
      </c>
    </row>
    <row r="816" spans="1:2" x14ac:dyDescent="0.25">
      <c r="A816" s="9">
        <v>43184</v>
      </c>
      <c r="B816">
        <v>122.380907053478</v>
      </c>
    </row>
    <row r="817" spans="1:2" x14ac:dyDescent="0.25">
      <c r="A817" s="9">
        <v>43185</v>
      </c>
      <c r="B817">
        <v>122.45321952302599</v>
      </c>
    </row>
    <row r="818" spans="1:2" x14ac:dyDescent="0.25">
      <c r="A818" s="9">
        <v>43186</v>
      </c>
      <c r="B818">
        <v>122.539524787205</v>
      </c>
    </row>
    <row r="819" spans="1:2" x14ac:dyDescent="0.25">
      <c r="A819" s="9">
        <v>43187</v>
      </c>
      <c r="B819">
        <v>122.618850870001</v>
      </c>
    </row>
    <row r="820" spans="1:2" x14ac:dyDescent="0.25">
      <c r="A820" s="9">
        <v>43188</v>
      </c>
      <c r="B820">
        <v>122.709261301127</v>
      </c>
    </row>
    <row r="821" spans="1:2" x14ac:dyDescent="0.25">
      <c r="A821" s="9">
        <v>43189</v>
      </c>
      <c r="B821">
        <v>122.79611179724699</v>
      </c>
    </row>
    <row r="822" spans="1:2" x14ac:dyDescent="0.25">
      <c r="A822" s="9">
        <v>43190</v>
      </c>
      <c r="B822">
        <v>122.875662271561</v>
      </c>
    </row>
    <row r="823" spans="1:2" x14ac:dyDescent="0.25">
      <c r="A823" s="9">
        <v>43191</v>
      </c>
      <c r="B823">
        <v>122.949932497924</v>
      </c>
    </row>
    <row r="824" spans="1:2" x14ac:dyDescent="0.25">
      <c r="A824" s="9">
        <v>43192</v>
      </c>
      <c r="B824">
        <v>123.02163078311</v>
      </c>
    </row>
    <row r="825" spans="1:2" x14ac:dyDescent="0.25">
      <c r="A825" s="9">
        <v>43193</v>
      </c>
      <c r="B825">
        <v>123.10810385733799</v>
      </c>
    </row>
    <row r="826" spans="1:2" x14ac:dyDescent="0.25">
      <c r="A826" s="9">
        <v>43194</v>
      </c>
      <c r="B826">
        <v>123.19018045807999</v>
      </c>
    </row>
    <row r="827" spans="1:2" x14ac:dyDescent="0.25">
      <c r="A827" s="9">
        <v>43195</v>
      </c>
      <c r="B827">
        <v>123.278698838395</v>
      </c>
    </row>
    <row r="828" spans="1:2" x14ac:dyDescent="0.25">
      <c r="A828" s="9">
        <v>43196</v>
      </c>
      <c r="B828">
        <v>123.358147464178</v>
      </c>
    </row>
    <row r="829" spans="1:2" x14ac:dyDescent="0.25">
      <c r="A829" s="9">
        <v>43197</v>
      </c>
      <c r="B829">
        <v>123.443842038086</v>
      </c>
    </row>
    <row r="830" spans="1:2" x14ac:dyDescent="0.25">
      <c r="A830" s="9">
        <v>43198</v>
      </c>
      <c r="B830">
        <v>123.517368143613</v>
      </c>
    </row>
    <row r="831" spans="1:2" x14ac:dyDescent="0.25">
      <c r="A831" s="9">
        <v>43199</v>
      </c>
      <c r="B831">
        <v>123.607681357904</v>
      </c>
    </row>
    <row r="832" spans="1:2" x14ac:dyDescent="0.25">
      <c r="A832" s="9">
        <v>43200</v>
      </c>
      <c r="B832">
        <v>123.691455692332</v>
      </c>
    </row>
    <row r="833" spans="1:2" x14ac:dyDescent="0.25">
      <c r="A833" s="9">
        <v>43201</v>
      </c>
      <c r="B833">
        <v>123.773679015309</v>
      </c>
    </row>
    <row r="834" spans="1:2" x14ac:dyDescent="0.25">
      <c r="A834" s="9">
        <v>43202</v>
      </c>
      <c r="B834">
        <v>123.860834851243</v>
      </c>
    </row>
    <row r="835" spans="1:2" x14ac:dyDescent="0.25">
      <c r="A835" s="9">
        <v>43203</v>
      </c>
      <c r="B835">
        <v>123.94594205141</v>
      </c>
    </row>
    <row r="836" spans="1:2" x14ac:dyDescent="0.25">
      <c r="A836" s="9">
        <v>43204</v>
      </c>
      <c r="B836">
        <v>124.025352269736</v>
      </c>
    </row>
    <row r="837" spans="1:2" x14ac:dyDescent="0.25">
      <c r="A837" s="9">
        <v>43205</v>
      </c>
      <c r="B837">
        <v>124.114244511637</v>
      </c>
    </row>
    <row r="838" spans="1:2" x14ac:dyDescent="0.25">
      <c r="A838" s="9">
        <v>43206</v>
      </c>
      <c r="B838">
        <v>124.19483254907099</v>
      </c>
    </row>
    <row r="839" spans="1:2" x14ac:dyDescent="0.25">
      <c r="A839" s="9">
        <v>43207</v>
      </c>
      <c r="B839">
        <v>124.276440712981</v>
      </c>
    </row>
    <row r="840" spans="1:2" x14ac:dyDescent="0.25">
      <c r="A840" s="9">
        <v>43208</v>
      </c>
      <c r="B840">
        <v>124.364968942963</v>
      </c>
    </row>
    <row r="841" spans="1:2" x14ac:dyDescent="0.25">
      <c r="A841" s="9">
        <v>43209</v>
      </c>
      <c r="B841">
        <v>124.450234292395</v>
      </c>
    </row>
    <row r="842" spans="1:2" x14ac:dyDescent="0.25">
      <c r="A842" s="9">
        <v>43210</v>
      </c>
      <c r="B842">
        <v>124.52507201255</v>
      </c>
    </row>
    <row r="843" spans="1:2" x14ac:dyDescent="0.25">
      <c r="A843" s="9">
        <v>43211</v>
      </c>
      <c r="B843">
        <v>124.61571725715901</v>
      </c>
    </row>
    <row r="844" spans="1:2" x14ac:dyDescent="0.25">
      <c r="A844" s="9">
        <v>43212</v>
      </c>
      <c r="B844">
        <v>124.69732876595199</v>
      </c>
    </row>
    <row r="845" spans="1:2" x14ac:dyDescent="0.25">
      <c r="A845" s="9">
        <v>43213</v>
      </c>
      <c r="B845">
        <v>124.781975802331</v>
      </c>
    </row>
    <row r="846" spans="1:2" x14ac:dyDescent="0.25">
      <c r="A846" s="9">
        <v>43214</v>
      </c>
      <c r="B846">
        <v>124.86231636321899</v>
      </c>
    </row>
    <row r="847" spans="1:2" x14ac:dyDescent="0.25">
      <c r="A847" s="9">
        <v>43215</v>
      </c>
      <c r="B847">
        <v>124.946108128796</v>
      </c>
    </row>
    <row r="848" spans="1:2" x14ac:dyDescent="0.25">
      <c r="A848" s="9">
        <v>43216</v>
      </c>
      <c r="B848">
        <v>125.033119716603</v>
      </c>
    </row>
    <row r="849" spans="1:2" x14ac:dyDescent="0.25">
      <c r="A849" s="9">
        <v>43217</v>
      </c>
      <c r="B849">
        <v>125.11526247296599</v>
      </c>
    </row>
    <row r="850" spans="1:2" x14ac:dyDescent="0.25">
      <c r="A850" s="9">
        <v>43218</v>
      </c>
      <c r="B850">
        <v>125.202769020494</v>
      </c>
    </row>
    <row r="851" spans="1:2" x14ac:dyDescent="0.25">
      <c r="A851" s="9">
        <v>43219</v>
      </c>
      <c r="B851">
        <v>125.286636411606</v>
      </c>
    </row>
    <row r="852" spans="1:2" x14ac:dyDescent="0.25">
      <c r="A852" s="9">
        <v>43220</v>
      </c>
      <c r="B852">
        <v>125.370178805799</v>
      </c>
    </row>
    <row r="853" spans="1:2" x14ac:dyDescent="0.25">
      <c r="A853" s="9">
        <v>43221</v>
      </c>
      <c r="B853">
        <v>125.451974587799</v>
      </c>
    </row>
    <row r="854" spans="1:2" x14ac:dyDescent="0.25">
      <c r="A854" s="9">
        <v>43222</v>
      </c>
      <c r="B854">
        <v>125.538814759641</v>
      </c>
    </row>
    <row r="855" spans="1:2" x14ac:dyDescent="0.25">
      <c r="A855" s="9">
        <v>43223</v>
      </c>
      <c r="B855">
        <v>125.62577434392399</v>
      </c>
    </row>
    <row r="856" spans="1:2" x14ac:dyDescent="0.25">
      <c r="A856" s="9">
        <v>43224</v>
      </c>
      <c r="B856">
        <v>125.70900176037399</v>
      </c>
    </row>
    <row r="857" spans="1:2" x14ac:dyDescent="0.25">
      <c r="A857" s="9">
        <v>43225</v>
      </c>
      <c r="B857">
        <v>125.799407408443</v>
      </c>
    </row>
    <row r="858" spans="1:2" x14ac:dyDescent="0.25">
      <c r="A858" s="9">
        <v>43226</v>
      </c>
      <c r="B858">
        <v>125.884631027683</v>
      </c>
    </row>
    <row r="859" spans="1:2" x14ac:dyDescent="0.25">
      <c r="A859" s="9">
        <v>43227</v>
      </c>
      <c r="B859">
        <v>125.97046344472299</v>
      </c>
    </row>
    <row r="860" spans="1:2" x14ac:dyDescent="0.25">
      <c r="A860" s="9">
        <v>43228</v>
      </c>
      <c r="B860">
        <v>126.056570023744</v>
      </c>
    </row>
    <row r="861" spans="1:2" x14ac:dyDescent="0.25">
      <c r="A861" s="9">
        <v>43229</v>
      </c>
      <c r="B861">
        <v>126.139285962779</v>
      </c>
    </row>
    <row r="862" spans="1:2" x14ac:dyDescent="0.25">
      <c r="A862" s="9">
        <v>43230</v>
      </c>
      <c r="B862">
        <v>126.223622776642</v>
      </c>
    </row>
    <row r="863" spans="1:2" x14ac:dyDescent="0.25">
      <c r="A863" s="9">
        <v>43231</v>
      </c>
      <c r="B863">
        <v>126.310150862013</v>
      </c>
    </row>
    <row r="864" spans="1:2" x14ac:dyDescent="0.25">
      <c r="A864" s="9">
        <v>43232</v>
      </c>
      <c r="B864">
        <v>126.40109356454001</v>
      </c>
    </row>
    <row r="865" spans="1:2" x14ac:dyDescent="0.25">
      <c r="A865" s="9">
        <v>43233</v>
      </c>
      <c r="B865">
        <v>126.491671628742</v>
      </c>
    </row>
    <row r="866" spans="1:2" x14ac:dyDescent="0.25">
      <c r="A866" s="9">
        <v>43234</v>
      </c>
      <c r="B866">
        <v>126.579398611169</v>
      </c>
    </row>
    <row r="867" spans="1:2" x14ac:dyDescent="0.25">
      <c r="A867" s="9">
        <v>43235</v>
      </c>
      <c r="B867">
        <v>126.66179684497099</v>
      </c>
    </row>
    <row r="868" spans="1:2" x14ac:dyDescent="0.25">
      <c r="A868" s="9">
        <v>43236</v>
      </c>
      <c r="B868">
        <v>126.746047312451</v>
      </c>
    </row>
    <row r="869" spans="1:2" x14ac:dyDescent="0.25">
      <c r="A869" s="9">
        <v>43237</v>
      </c>
      <c r="B869">
        <v>126.83801220235399</v>
      </c>
    </row>
    <row r="870" spans="1:2" x14ac:dyDescent="0.25">
      <c r="A870" s="9">
        <v>43238</v>
      </c>
      <c r="B870">
        <v>126.922302718259</v>
      </c>
    </row>
    <row r="871" spans="1:2" x14ac:dyDescent="0.25">
      <c r="A871" s="9">
        <v>43239</v>
      </c>
      <c r="B871">
        <v>127.012616231336</v>
      </c>
    </row>
    <row r="872" spans="1:2" x14ac:dyDescent="0.25">
      <c r="A872" s="9">
        <v>43240</v>
      </c>
      <c r="B872">
        <v>127.093708103924</v>
      </c>
    </row>
    <row r="873" spans="1:2" x14ac:dyDescent="0.25">
      <c r="A873" s="9">
        <v>43241</v>
      </c>
      <c r="B873">
        <v>127.17917315843199</v>
      </c>
    </row>
    <row r="874" spans="1:2" x14ac:dyDescent="0.25">
      <c r="A874" s="9">
        <v>43242</v>
      </c>
      <c r="B874">
        <v>127.26536557083899</v>
      </c>
    </row>
    <row r="875" spans="1:2" x14ac:dyDescent="0.25">
      <c r="A875" s="9">
        <v>43243</v>
      </c>
      <c r="B875">
        <v>127.351739038377</v>
      </c>
    </row>
    <row r="876" spans="1:2" x14ac:dyDescent="0.25">
      <c r="A876" s="9">
        <v>43244</v>
      </c>
      <c r="B876">
        <v>127.445587256339</v>
      </c>
    </row>
    <row r="877" spans="1:2" x14ac:dyDescent="0.25">
      <c r="A877" s="9">
        <v>43245</v>
      </c>
      <c r="B877">
        <v>127.53652719471999</v>
      </c>
    </row>
    <row r="878" spans="1:2" x14ac:dyDescent="0.25">
      <c r="A878" s="9">
        <v>43246</v>
      </c>
      <c r="B878">
        <v>127.624104845755</v>
      </c>
    </row>
    <row r="879" spans="1:2" x14ac:dyDescent="0.25">
      <c r="A879" s="9">
        <v>43247</v>
      </c>
      <c r="B879">
        <v>127.717510527104</v>
      </c>
    </row>
    <row r="880" spans="1:2" x14ac:dyDescent="0.25">
      <c r="A880" s="9">
        <v>43248</v>
      </c>
      <c r="B880">
        <v>127.81308560461</v>
      </c>
    </row>
    <row r="881" spans="1:2" x14ac:dyDescent="0.25">
      <c r="A881" s="9">
        <v>43249</v>
      </c>
      <c r="B881">
        <v>127.91145880245701</v>
      </c>
    </row>
    <row r="882" spans="1:2" x14ac:dyDescent="0.25">
      <c r="A882" s="9">
        <v>43250</v>
      </c>
      <c r="B882">
        <v>128.00332512695999</v>
      </c>
    </row>
    <row r="883" spans="1:2" x14ac:dyDescent="0.25">
      <c r="A883" s="9">
        <v>43251</v>
      </c>
      <c r="B883">
        <v>128.088828190985</v>
      </c>
    </row>
    <row r="884" spans="1:2" x14ac:dyDescent="0.25">
      <c r="A884" s="9">
        <v>43252</v>
      </c>
      <c r="B884">
        <v>128.18082521935301</v>
      </c>
    </row>
    <row r="885" spans="1:2" x14ac:dyDescent="0.25">
      <c r="A885" s="9">
        <v>43253</v>
      </c>
      <c r="B885">
        <v>128.27789802416299</v>
      </c>
    </row>
    <row r="886" spans="1:2" x14ac:dyDescent="0.25">
      <c r="A886" s="9">
        <v>43254</v>
      </c>
      <c r="B886">
        <v>128.366360996081</v>
      </c>
    </row>
    <row r="887" spans="1:2" x14ac:dyDescent="0.25">
      <c r="A887" s="9">
        <v>43255</v>
      </c>
      <c r="B887">
        <v>128.45197619757499</v>
      </c>
    </row>
    <row r="888" spans="1:2" x14ac:dyDescent="0.25">
      <c r="A888" s="9">
        <v>43256</v>
      </c>
      <c r="B888">
        <v>128.549110759472</v>
      </c>
    </row>
    <row r="889" spans="1:2" x14ac:dyDescent="0.25">
      <c r="A889" s="9">
        <v>43257</v>
      </c>
      <c r="B889">
        <v>128.648646424746</v>
      </c>
    </row>
    <row r="890" spans="1:2" x14ac:dyDescent="0.25">
      <c r="A890" s="9">
        <v>43258</v>
      </c>
      <c r="B890">
        <v>128.738130336257</v>
      </c>
    </row>
    <row r="891" spans="1:2" x14ac:dyDescent="0.25">
      <c r="A891" s="9">
        <v>43259</v>
      </c>
      <c r="B891">
        <v>128.82369293047799</v>
      </c>
    </row>
    <row r="892" spans="1:2" x14ac:dyDescent="0.25">
      <c r="A892" s="9">
        <v>43260</v>
      </c>
      <c r="B892">
        <v>128.900118125875</v>
      </c>
    </row>
    <row r="893" spans="1:2" x14ac:dyDescent="0.25">
      <c r="A893" s="9">
        <v>43261</v>
      </c>
      <c r="B893">
        <v>128.98652109300801</v>
      </c>
    </row>
    <row r="894" spans="1:2" x14ac:dyDescent="0.25">
      <c r="A894" s="9">
        <v>43262</v>
      </c>
      <c r="B894">
        <v>129.086496415802</v>
      </c>
    </row>
    <row r="895" spans="1:2" x14ac:dyDescent="0.25">
      <c r="A895" s="9">
        <v>43263</v>
      </c>
      <c r="B895">
        <v>129.17752100735899</v>
      </c>
    </row>
    <row r="896" spans="1:2" x14ac:dyDescent="0.25">
      <c r="A896" s="9">
        <v>43264</v>
      </c>
      <c r="B896">
        <v>129.26432106143099</v>
      </c>
    </row>
    <row r="897" spans="1:2" x14ac:dyDescent="0.25">
      <c r="A897" s="9">
        <v>43265</v>
      </c>
      <c r="B897">
        <v>129.34567259132999</v>
      </c>
    </row>
    <row r="898" spans="1:2" x14ac:dyDescent="0.25">
      <c r="A898" s="9">
        <v>43266</v>
      </c>
      <c r="B898">
        <v>129.432857121768</v>
      </c>
    </row>
    <row r="899" spans="1:2" x14ac:dyDescent="0.25">
      <c r="A899" s="9">
        <v>43267</v>
      </c>
      <c r="B899">
        <v>129.516332918985</v>
      </c>
    </row>
    <row r="900" spans="1:2" x14ac:dyDescent="0.25">
      <c r="A900" s="9">
        <v>43268</v>
      </c>
      <c r="B900">
        <v>129.61637627107999</v>
      </c>
    </row>
    <row r="901" spans="1:2" x14ac:dyDescent="0.25">
      <c r="A901" s="9">
        <v>43269</v>
      </c>
      <c r="B901">
        <v>129.710621284659</v>
      </c>
    </row>
    <row r="902" spans="1:2" x14ac:dyDescent="0.25">
      <c r="A902" s="9">
        <v>43270</v>
      </c>
      <c r="B902">
        <v>129.80367264051301</v>
      </c>
    </row>
    <row r="903" spans="1:2" x14ac:dyDescent="0.25">
      <c r="A903" s="9">
        <v>43271</v>
      </c>
      <c r="B903">
        <v>129.88822260054499</v>
      </c>
    </row>
    <row r="904" spans="1:2" x14ac:dyDescent="0.25">
      <c r="A904" s="9">
        <v>43272</v>
      </c>
      <c r="B904">
        <v>129.98237850470099</v>
      </c>
    </row>
    <row r="905" spans="1:2" x14ac:dyDescent="0.25">
      <c r="A905" s="9">
        <v>43273</v>
      </c>
      <c r="B905">
        <v>130.06313361196399</v>
      </c>
    </row>
    <row r="906" spans="1:2" x14ac:dyDescent="0.25">
      <c r="A906" s="9">
        <v>43274</v>
      </c>
      <c r="B906">
        <v>130.147376122156</v>
      </c>
    </row>
    <row r="907" spans="1:2" x14ac:dyDescent="0.25">
      <c r="A907" s="9">
        <v>43275</v>
      </c>
      <c r="B907">
        <v>130.24052157267101</v>
      </c>
    </row>
    <row r="908" spans="1:2" x14ac:dyDescent="0.25">
      <c r="A908" s="9">
        <v>43276</v>
      </c>
      <c r="B908">
        <v>130.332356262606</v>
      </c>
    </row>
    <row r="909" spans="1:2" x14ac:dyDescent="0.25">
      <c r="A909" s="9">
        <v>43277</v>
      </c>
      <c r="B909">
        <v>130.413168998489</v>
      </c>
    </row>
    <row r="910" spans="1:2" x14ac:dyDescent="0.25">
      <c r="A910" s="9">
        <v>43278</v>
      </c>
      <c r="B910">
        <v>130.50021648511901</v>
      </c>
    </row>
    <row r="911" spans="1:2" x14ac:dyDescent="0.25">
      <c r="A911" s="9">
        <v>43279</v>
      </c>
      <c r="B911">
        <v>130.591031619543</v>
      </c>
    </row>
    <row r="912" spans="1:2" x14ac:dyDescent="0.25">
      <c r="A912" s="9">
        <v>43280</v>
      </c>
      <c r="B912">
        <v>130.67812258169201</v>
      </c>
    </row>
    <row r="913" spans="1:2" x14ac:dyDescent="0.25">
      <c r="A913" s="9">
        <v>43281</v>
      </c>
      <c r="B913">
        <v>130.76726292449999</v>
      </c>
    </row>
    <row r="914" spans="1:2" x14ac:dyDescent="0.25">
      <c r="A914" s="9">
        <v>43282</v>
      </c>
      <c r="B914">
        <v>130.86158682612901</v>
      </c>
    </row>
    <row r="915" spans="1:2" x14ac:dyDescent="0.25">
      <c r="A915" s="9">
        <v>43283</v>
      </c>
      <c r="B915">
        <v>130.95505719075501</v>
      </c>
    </row>
    <row r="916" spans="1:2" x14ac:dyDescent="0.25">
      <c r="A916" s="9">
        <v>43284</v>
      </c>
      <c r="B916">
        <v>131.04077563783</v>
      </c>
    </row>
    <row r="917" spans="1:2" x14ac:dyDescent="0.25">
      <c r="A917" s="9">
        <v>43285</v>
      </c>
      <c r="B917">
        <v>131.12972900147301</v>
      </c>
    </row>
    <row r="918" spans="1:2" x14ac:dyDescent="0.25">
      <c r="A918" s="9">
        <v>43286</v>
      </c>
      <c r="B918">
        <v>131.219436679431</v>
      </c>
    </row>
    <row r="919" spans="1:2" x14ac:dyDescent="0.25">
      <c r="A919" s="9">
        <v>43287</v>
      </c>
      <c r="B919">
        <v>131.30966852292599</v>
      </c>
    </row>
    <row r="920" spans="1:2" x14ac:dyDescent="0.25">
      <c r="A920" s="9">
        <v>43288</v>
      </c>
      <c r="B920">
        <v>131.40462800698299</v>
      </c>
    </row>
    <row r="921" spans="1:2" x14ac:dyDescent="0.25">
      <c r="A921" s="9">
        <v>43289</v>
      </c>
      <c r="B921">
        <v>131.49711111658601</v>
      </c>
    </row>
    <row r="922" spans="1:2" x14ac:dyDescent="0.25">
      <c r="A922" s="9">
        <v>43290</v>
      </c>
      <c r="B922">
        <v>131.58604135656401</v>
      </c>
    </row>
    <row r="923" spans="1:2" x14ac:dyDescent="0.25">
      <c r="A923" s="9">
        <v>43291</v>
      </c>
      <c r="B923">
        <v>131.671492607022</v>
      </c>
    </row>
    <row r="924" spans="1:2" x14ac:dyDescent="0.25">
      <c r="A924" s="9">
        <v>43292</v>
      </c>
      <c r="B924">
        <v>131.76341139694799</v>
      </c>
    </row>
    <row r="925" spans="1:2" x14ac:dyDescent="0.25">
      <c r="A925" s="9">
        <v>43293</v>
      </c>
      <c r="B925">
        <v>131.84451985320001</v>
      </c>
    </row>
    <row r="926" spans="1:2" x14ac:dyDescent="0.25">
      <c r="A926" s="9">
        <v>43294</v>
      </c>
      <c r="B926">
        <v>131.94045122011201</v>
      </c>
    </row>
    <row r="927" spans="1:2" x14ac:dyDescent="0.25">
      <c r="A927" s="9">
        <v>43295</v>
      </c>
      <c r="B927">
        <v>132.04119625332001</v>
      </c>
    </row>
    <row r="928" spans="1:2" x14ac:dyDescent="0.25">
      <c r="A928" s="9">
        <v>43296</v>
      </c>
      <c r="B928">
        <v>132.13823967130099</v>
      </c>
    </row>
    <row r="929" spans="1:2" x14ac:dyDescent="0.25">
      <c r="A929" s="9">
        <v>43297</v>
      </c>
      <c r="B929">
        <v>132.222122195098</v>
      </c>
    </row>
    <row r="930" spans="1:2" x14ac:dyDescent="0.25">
      <c r="A930" s="9">
        <v>43298</v>
      </c>
      <c r="B930">
        <v>132.311762525527</v>
      </c>
    </row>
    <row r="931" spans="1:2" x14ac:dyDescent="0.25">
      <c r="A931" s="9">
        <v>43299</v>
      </c>
      <c r="B931">
        <v>132.399769111956</v>
      </c>
    </row>
    <row r="932" spans="1:2" x14ac:dyDescent="0.25">
      <c r="A932" s="9">
        <v>43300</v>
      </c>
      <c r="B932">
        <v>132.49071765677999</v>
      </c>
    </row>
    <row r="933" spans="1:2" x14ac:dyDescent="0.25">
      <c r="A933" s="9">
        <v>43301</v>
      </c>
      <c r="B933">
        <v>132.582422073142</v>
      </c>
    </row>
    <row r="934" spans="1:2" x14ac:dyDescent="0.25">
      <c r="A934" s="9">
        <v>43302</v>
      </c>
      <c r="B934">
        <v>132.676177521581</v>
      </c>
    </row>
    <row r="935" spans="1:2" x14ac:dyDescent="0.25">
      <c r="A935" s="9">
        <v>43303</v>
      </c>
      <c r="B935">
        <v>132.77611056581199</v>
      </c>
    </row>
    <row r="936" spans="1:2" x14ac:dyDescent="0.25">
      <c r="A936" s="9">
        <v>43304</v>
      </c>
      <c r="B936">
        <v>132.87556159258301</v>
      </c>
    </row>
    <row r="937" spans="1:2" x14ac:dyDescent="0.25">
      <c r="A937" s="9">
        <v>43305</v>
      </c>
      <c r="B937">
        <v>132.96610210874999</v>
      </c>
    </row>
    <row r="938" spans="1:2" x14ac:dyDescent="0.25">
      <c r="A938" s="9">
        <v>43306</v>
      </c>
      <c r="B938">
        <v>133.06110270250801</v>
      </c>
    </row>
    <row r="939" spans="1:2" x14ac:dyDescent="0.25">
      <c r="A939" s="9">
        <v>43307</v>
      </c>
      <c r="B939">
        <v>133.161463888474</v>
      </c>
    </row>
    <row r="940" spans="1:2" x14ac:dyDescent="0.25">
      <c r="A940" s="9">
        <v>43308</v>
      </c>
      <c r="B940">
        <v>133.260974139571</v>
      </c>
    </row>
    <row r="941" spans="1:2" x14ac:dyDescent="0.25">
      <c r="A941" s="9">
        <v>43309</v>
      </c>
      <c r="B941">
        <v>133.34326650479301</v>
      </c>
    </row>
    <row r="942" spans="1:2" x14ac:dyDescent="0.25">
      <c r="A942" s="9">
        <v>43310</v>
      </c>
      <c r="B942">
        <v>133.43267837827</v>
      </c>
    </row>
    <row r="943" spans="1:2" x14ac:dyDescent="0.25">
      <c r="A943" s="9">
        <v>43311</v>
      </c>
      <c r="B943">
        <v>133.52531072967801</v>
      </c>
    </row>
    <row r="944" spans="1:2" x14ac:dyDescent="0.25">
      <c r="A944" s="9">
        <v>43312</v>
      </c>
      <c r="B944">
        <v>133.625455660292</v>
      </c>
    </row>
    <row r="945" spans="1:2" x14ac:dyDescent="0.25">
      <c r="A945" s="9">
        <v>43313</v>
      </c>
      <c r="B945">
        <v>133.711875888501</v>
      </c>
    </row>
    <row r="946" spans="1:2" x14ac:dyDescent="0.25">
      <c r="A946" s="9">
        <v>43314</v>
      </c>
      <c r="B946">
        <v>133.803435543094</v>
      </c>
    </row>
    <row r="947" spans="1:2" x14ac:dyDescent="0.25">
      <c r="A947" s="9">
        <v>43315</v>
      </c>
      <c r="B947">
        <v>133.88517385411501</v>
      </c>
    </row>
    <row r="948" spans="1:2" x14ac:dyDescent="0.25">
      <c r="A948" s="9">
        <v>43316</v>
      </c>
      <c r="B948">
        <v>133.98892870650101</v>
      </c>
    </row>
    <row r="949" spans="1:2" x14ac:dyDescent="0.25">
      <c r="A949" s="9">
        <v>43317</v>
      </c>
      <c r="B949">
        <v>134.088576480374</v>
      </c>
    </row>
    <row r="950" spans="1:2" x14ac:dyDescent="0.25">
      <c r="A950" s="9">
        <v>43318</v>
      </c>
      <c r="B950">
        <v>134.17683407164</v>
      </c>
    </row>
    <row r="951" spans="1:2" x14ac:dyDescent="0.25">
      <c r="A951" s="9">
        <v>43319</v>
      </c>
      <c r="B951">
        <v>134.26295388280201</v>
      </c>
    </row>
    <row r="952" spans="1:2" x14ac:dyDescent="0.25">
      <c r="A952" s="9">
        <v>43320</v>
      </c>
      <c r="B952">
        <v>134.35969119839001</v>
      </c>
    </row>
    <row r="953" spans="1:2" x14ac:dyDescent="0.25">
      <c r="A953" s="9">
        <v>43321</v>
      </c>
      <c r="B953">
        <v>134.45388445030599</v>
      </c>
    </row>
    <row r="954" spans="1:2" x14ac:dyDescent="0.25">
      <c r="A954" s="9">
        <v>43322</v>
      </c>
      <c r="B954">
        <v>134.55574193157099</v>
      </c>
    </row>
    <row r="955" spans="1:2" x14ac:dyDescent="0.25">
      <c r="A955" s="9">
        <v>43323</v>
      </c>
      <c r="B955">
        <v>134.64481245134201</v>
      </c>
    </row>
    <row r="956" spans="1:2" x14ac:dyDescent="0.25">
      <c r="A956" s="9">
        <v>43324</v>
      </c>
      <c r="B956">
        <v>134.74129293808201</v>
      </c>
    </row>
    <row r="957" spans="1:2" x14ac:dyDescent="0.25">
      <c r="A957" s="9">
        <v>43325</v>
      </c>
      <c r="B957">
        <v>134.834990369796</v>
      </c>
    </row>
    <row r="958" spans="1:2" x14ac:dyDescent="0.25">
      <c r="A958" s="9">
        <v>43326</v>
      </c>
      <c r="B958">
        <v>134.937028375262</v>
      </c>
    </row>
    <row r="959" spans="1:2" x14ac:dyDescent="0.25">
      <c r="A959" s="9">
        <v>43327</v>
      </c>
      <c r="B959">
        <v>135.02462976299299</v>
      </c>
    </row>
    <row r="960" spans="1:2" x14ac:dyDescent="0.25">
      <c r="A960" s="9">
        <v>43328</v>
      </c>
      <c r="B960">
        <v>135.11523372664701</v>
      </c>
    </row>
    <row r="961" spans="1:2" x14ac:dyDescent="0.25">
      <c r="A961" s="9">
        <v>43329</v>
      </c>
      <c r="B961">
        <v>135.20604969373801</v>
      </c>
    </row>
    <row r="962" spans="1:2" x14ac:dyDescent="0.25">
      <c r="A962" s="9">
        <v>43330</v>
      </c>
      <c r="B962">
        <v>135.29994578540001</v>
      </c>
    </row>
    <row r="963" spans="1:2" x14ac:dyDescent="0.25">
      <c r="A963" s="9">
        <v>43331</v>
      </c>
      <c r="B963">
        <v>135.39252600318099</v>
      </c>
    </row>
    <row r="964" spans="1:2" x14ac:dyDescent="0.25">
      <c r="A964" s="9">
        <v>43332</v>
      </c>
      <c r="B964">
        <v>135.47923446236101</v>
      </c>
    </row>
    <row r="965" spans="1:2" x14ac:dyDescent="0.25">
      <c r="A965" s="9">
        <v>43333</v>
      </c>
      <c r="B965">
        <v>135.57371111117001</v>
      </c>
    </row>
    <row r="966" spans="1:2" x14ac:dyDescent="0.25">
      <c r="A966" s="9">
        <v>43334</v>
      </c>
      <c r="B966">
        <v>135.66405627169499</v>
      </c>
    </row>
    <row r="967" spans="1:2" x14ac:dyDescent="0.25">
      <c r="A967" s="9">
        <v>43335</v>
      </c>
      <c r="B967">
        <v>135.76460901971501</v>
      </c>
    </row>
    <row r="968" spans="1:2" x14ac:dyDescent="0.25">
      <c r="A968" s="9">
        <v>43336</v>
      </c>
      <c r="B968">
        <v>135.85099243290099</v>
      </c>
    </row>
    <row r="969" spans="1:2" x14ac:dyDescent="0.25">
      <c r="A969" s="9">
        <v>43337</v>
      </c>
      <c r="B969">
        <v>135.950687474294</v>
      </c>
    </row>
    <row r="970" spans="1:2" x14ac:dyDescent="0.25">
      <c r="A970" s="9">
        <v>43338</v>
      </c>
      <c r="B970">
        <v>136.04326634593599</v>
      </c>
    </row>
    <row r="971" spans="1:2" x14ac:dyDescent="0.25">
      <c r="A971" s="9">
        <v>43339</v>
      </c>
      <c r="B971">
        <v>136.13755240691901</v>
      </c>
    </row>
    <row r="972" spans="1:2" x14ac:dyDescent="0.25">
      <c r="A972" s="9">
        <v>43340</v>
      </c>
      <c r="B972">
        <v>136.23208045025299</v>
      </c>
    </row>
    <row r="973" spans="1:2" x14ac:dyDescent="0.25">
      <c r="A973" s="9">
        <v>43341</v>
      </c>
      <c r="B973">
        <v>136.332561919201</v>
      </c>
    </row>
    <row r="974" spans="1:2" x14ac:dyDescent="0.25">
      <c r="A974" s="9">
        <v>43342</v>
      </c>
      <c r="B974">
        <v>136.42718709710999</v>
      </c>
    </row>
    <row r="975" spans="1:2" x14ac:dyDescent="0.25">
      <c r="A975" s="9">
        <v>43343</v>
      </c>
      <c r="B975">
        <v>136.52518601557699</v>
      </c>
    </row>
    <row r="976" spans="1:2" x14ac:dyDescent="0.25">
      <c r="A976" s="9">
        <v>43344</v>
      </c>
      <c r="B976">
        <v>136.62288974919099</v>
      </c>
    </row>
    <row r="977" spans="1:2" x14ac:dyDescent="0.25">
      <c r="A977" s="9">
        <v>43345</v>
      </c>
      <c r="B977">
        <v>136.72186135581001</v>
      </c>
    </row>
    <row r="978" spans="1:2" x14ac:dyDescent="0.25">
      <c r="A978" s="9">
        <v>43346</v>
      </c>
      <c r="B978">
        <v>136.813036185312</v>
      </c>
    </row>
    <row r="979" spans="1:2" x14ac:dyDescent="0.25">
      <c r="A979" s="9">
        <v>43347</v>
      </c>
      <c r="B979">
        <v>136.914538807046</v>
      </c>
    </row>
    <row r="980" spans="1:2" x14ac:dyDescent="0.25">
      <c r="A980" s="9">
        <v>43348</v>
      </c>
      <c r="B980">
        <v>137.01109153284199</v>
      </c>
    </row>
    <row r="981" spans="1:2" x14ac:dyDescent="0.25">
      <c r="A981" s="9">
        <v>43349</v>
      </c>
      <c r="B981">
        <v>137.10111310285899</v>
      </c>
    </row>
    <row r="982" spans="1:2" x14ac:dyDescent="0.25">
      <c r="A982" s="9">
        <v>43350</v>
      </c>
      <c r="B982">
        <v>137.201881093037</v>
      </c>
    </row>
    <row r="983" spans="1:2" x14ac:dyDescent="0.25">
      <c r="A983" s="9">
        <v>43351</v>
      </c>
      <c r="B983">
        <v>137.29846075407701</v>
      </c>
    </row>
    <row r="984" spans="1:2" x14ac:dyDescent="0.25">
      <c r="A984" s="9">
        <v>43352</v>
      </c>
      <c r="B984">
        <v>137.395855523666</v>
      </c>
    </row>
    <row r="985" spans="1:2" x14ac:dyDescent="0.25">
      <c r="A985" s="9">
        <v>43353</v>
      </c>
      <c r="B985">
        <v>137.496655505821</v>
      </c>
    </row>
    <row r="986" spans="1:2" x14ac:dyDescent="0.25">
      <c r="A986" s="9">
        <v>43354</v>
      </c>
      <c r="B986">
        <v>137.58288463052901</v>
      </c>
    </row>
    <row r="987" spans="1:2" x14ac:dyDescent="0.25">
      <c r="A987" s="9">
        <v>43355</v>
      </c>
      <c r="B987">
        <v>137.67943151726399</v>
      </c>
    </row>
    <row r="988" spans="1:2" x14ac:dyDescent="0.25">
      <c r="A988" s="9">
        <v>43356</v>
      </c>
      <c r="B988">
        <v>137.77990135125299</v>
      </c>
    </row>
    <row r="989" spans="1:2" x14ac:dyDescent="0.25">
      <c r="A989" s="9">
        <v>43357</v>
      </c>
      <c r="B989">
        <v>137.879167790059</v>
      </c>
    </row>
    <row r="990" spans="1:2" x14ac:dyDescent="0.25">
      <c r="A990" s="9">
        <v>43358</v>
      </c>
      <c r="B990">
        <v>137.975464586654</v>
      </c>
    </row>
    <row r="991" spans="1:2" x14ac:dyDescent="0.25">
      <c r="A991" s="9">
        <v>43359</v>
      </c>
      <c r="B991">
        <v>138.07699736041701</v>
      </c>
    </row>
    <row r="992" spans="1:2" x14ac:dyDescent="0.25">
      <c r="A992" s="9">
        <v>43360</v>
      </c>
      <c r="B992">
        <v>138.166067001475</v>
      </c>
    </row>
    <row r="993" spans="1:2" x14ac:dyDescent="0.25">
      <c r="A993" s="9">
        <v>43361</v>
      </c>
      <c r="B993">
        <v>138.25832910003899</v>
      </c>
    </row>
    <row r="994" spans="1:2" x14ac:dyDescent="0.25">
      <c r="A994" s="9">
        <v>43362</v>
      </c>
      <c r="B994">
        <v>138.349779169746</v>
      </c>
    </row>
    <row r="995" spans="1:2" x14ac:dyDescent="0.25">
      <c r="A995" s="9">
        <v>43363</v>
      </c>
      <c r="B995">
        <v>138.45407048975201</v>
      </c>
    </row>
    <row r="996" spans="1:2" x14ac:dyDescent="0.25">
      <c r="A996" s="9">
        <v>43364</v>
      </c>
      <c r="B996">
        <v>138.55105514585699</v>
      </c>
    </row>
    <row r="997" spans="1:2" x14ac:dyDescent="0.25">
      <c r="A997" s="9">
        <v>43365</v>
      </c>
      <c r="B997">
        <v>138.64396892651399</v>
      </c>
    </row>
    <row r="998" spans="1:2" x14ac:dyDescent="0.25">
      <c r="A998" s="9">
        <v>43366</v>
      </c>
      <c r="B998">
        <v>138.74174832438399</v>
      </c>
    </row>
    <row r="999" spans="1:2" x14ac:dyDescent="0.25">
      <c r="A999" s="9">
        <v>43367</v>
      </c>
      <c r="B999">
        <v>138.827999768132</v>
      </c>
    </row>
    <row r="1000" spans="1:2" x14ac:dyDescent="0.25">
      <c r="A1000" s="9">
        <v>43368</v>
      </c>
      <c r="B1000">
        <v>138.933279065227</v>
      </c>
    </row>
    <row r="1001" spans="1:2" x14ac:dyDescent="0.25">
      <c r="A1001" s="9">
        <v>43369</v>
      </c>
      <c r="B1001">
        <v>139.031768657947</v>
      </c>
    </row>
    <row r="1002" spans="1:2" x14ac:dyDescent="0.25">
      <c r="A1002" s="9">
        <v>43370</v>
      </c>
      <c r="B1002">
        <v>139.13846516807499</v>
      </c>
    </row>
    <row r="1003" spans="1:2" x14ac:dyDescent="0.25">
      <c r="A1003" s="9">
        <v>43371</v>
      </c>
      <c r="B1003">
        <v>139.22876098960501</v>
      </c>
    </row>
    <row r="1004" spans="1:2" x14ac:dyDescent="0.25">
      <c r="A1004" s="9">
        <v>43372</v>
      </c>
      <c r="B1004">
        <v>139.328270874049</v>
      </c>
    </row>
    <row r="1005" spans="1:2" x14ac:dyDescent="0.25">
      <c r="A1005" s="9">
        <v>43373</v>
      </c>
      <c r="B1005">
        <v>139.42381380445499</v>
      </c>
    </row>
    <row r="1006" spans="1:2" x14ac:dyDescent="0.25">
      <c r="A1006" s="9">
        <v>43374</v>
      </c>
      <c r="B1006">
        <v>139.524119106526</v>
      </c>
    </row>
    <row r="1007" spans="1:2" x14ac:dyDescent="0.25">
      <c r="A1007" s="9">
        <v>43375</v>
      </c>
      <c r="B1007">
        <v>139.62359418298601</v>
      </c>
    </row>
    <row r="1008" spans="1:2" x14ac:dyDescent="0.25">
      <c r="A1008" s="9">
        <v>43376</v>
      </c>
      <c r="B1008">
        <v>139.71874605093601</v>
      </c>
    </row>
    <row r="1009" spans="1:2" x14ac:dyDescent="0.25">
      <c r="A1009" s="9">
        <v>43377</v>
      </c>
      <c r="B1009">
        <v>139.823594450195</v>
      </c>
    </row>
    <row r="1010" spans="1:2" x14ac:dyDescent="0.25">
      <c r="A1010" s="9">
        <v>43378</v>
      </c>
      <c r="B1010">
        <v>139.91311934915299</v>
      </c>
    </row>
    <row r="1011" spans="1:2" x14ac:dyDescent="0.25">
      <c r="A1011" s="9">
        <v>43379</v>
      </c>
      <c r="B1011">
        <v>140.006180463688</v>
      </c>
    </row>
    <row r="1012" spans="1:2" x14ac:dyDescent="0.25">
      <c r="A1012" s="9">
        <v>43380</v>
      </c>
      <c r="B1012">
        <v>140.10833262945999</v>
      </c>
    </row>
    <row r="1013" spans="1:2" x14ac:dyDescent="0.25">
      <c r="A1013" s="9">
        <v>43381</v>
      </c>
      <c r="B1013">
        <v>140.20406064228999</v>
      </c>
    </row>
    <row r="1014" spans="1:2" x14ac:dyDescent="0.25">
      <c r="A1014" s="9">
        <v>43382</v>
      </c>
      <c r="B1014">
        <v>140.29532852243199</v>
      </c>
    </row>
    <row r="1015" spans="1:2" x14ac:dyDescent="0.25">
      <c r="A1015" s="9">
        <v>43383</v>
      </c>
      <c r="B1015">
        <v>140.39514456006199</v>
      </c>
    </row>
    <row r="1016" spans="1:2" x14ac:dyDescent="0.25">
      <c r="A1016" s="9">
        <v>43384</v>
      </c>
      <c r="B1016">
        <v>140.49960149702201</v>
      </c>
    </row>
    <row r="1017" spans="1:2" x14ac:dyDescent="0.25">
      <c r="A1017" s="9">
        <v>43385</v>
      </c>
      <c r="B1017">
        <v>140.59878138198701</v>
      </c>
    </row>
    <row r="1018" spans="1:2" x14ac:dyDescent="0.25">
      <c r="A1018" s="9">
        <v>43386</v>
      </c>
      <c r="B1018">
        <v>140.70480708840799</v>
      </c>
    </row>
    <row r="1019" spans="1:2" x14ac:dyDescent="0.25">
      <c r="A1019" s="9">
        <v>43387</v>
      </c>
      <c r="B1019">
        <v>140.802025153199</v>
      </c>
    </row>
    <row r="1020" spans="1:2" x14ac:dyDescent="0.25">
      <c r="A1020" s="9">
        <v>43388</v>
      </c>
      <c r="B1020">
        <v>140.89386762313299</v>
      </c>
    </row>
    <row r="1021" spans="1:2" x14ac:dyDescent="0.25">
      <c r="A1021" s="9">
        <v>43389</v>
      </c>
      <c r="B1021">
        <v>140.99035274539</v>
      </c>
    </row>
    <row r="1022" spans="1:2" x14ac:dyDescent="0.25">
      <c r="A1022" s="9">
        <v>43390</v>
      </c>
      <c r="B1022">
        <v>141.09150184786901</v>
      </c>
    </row>
    <row r="1023" spans="1:2" x14ac:dyDescent="0.25">
      <c r="A1023" s="9">
        <v>43391</v>
      </c>
      <c r="B1023">
        <v>141.18797587135401</v>
      </c>
    </row>
    <row r="1024" spans="1:2" x14ac:dyDescent="0.25">
      <c r="A1024" s="9">
        <v>43392</v>
      </c>
      <c r="B1024">
        <v>141.28973654631599</v>
      </c>
    </row>
    <row r="1025" spans="1:2" x14ac:dyDescent="0.25">
      <c r="A1025" s="9">
        <v>43393</v>
      </c>
      <c r="B1025">
        <v>141.38759499058801</v>
      </c>
    </row>
    <row r="1026" spans="1:2" x14ac:dyDescent="0.25">
      <c r="A1026" s="9">
        <v>43394</v>
      </c>
      <c r="B1026">
        <v>141.47848448286101</v>
      </c>
    </row>
    <row r="1027" spans="1:2" x14ac:dyDescent="0.25">
      <c r="A1027" s="9">
        <v>43395</v>
      </c>
      <c r="B1027">
        <v>141.57115892217601</v>
      </c>
    </row>
    <row r="1028" spans="1:2" x14ac:dyDescent="0.25">
      <c r="A1028" s="9">
        <v>43396</v>
      </c>
      <c r="B1028">
        <v>141.669202258251</v>
      </c>
    </row>
    <row r="1029" spans="1:2" x14ac:dyDescent="0.25">
      <c r="A1029" s="9">
        <v>43397</v>
      </c>
      <c r="B1029">
        <v>141.77413058649</v>
      </c>
    </row>
    <row r="1030" spans="1:2" x14ac:dyDescent="0.25">
      <c r="A1030" s="9">
        <v>43398</v>
      </c>
      <c r="B1030">
        <v>141.87090253738299</v>
      </c>
    </row>
    <row r="1031" spans="1:2" x14ac:dyDescent="0.25">
      <c r="A1031" s="9">
        <v>43399</v>
      </c>
      <c r="B1031">
        <v>141.960883215423</v>
      </c>
    </row>
    <row r="1032" spans="1:2" x14ac:dyDescent="0.25">
      <c r="A1032" s="9">
        <v>43400</v>
      </c>
      <c r="B1032">
        <v>142.070462879058</v>
      </c>
    </row>
    <row r="1033" spans="1:2" x14ac:dyDescent="0.25">
      <c r="A1033" s="9">
        <v>43401</v>
      </c>
      <c r="B1033">
        <v>142.16552263451899</v>
      </c>
    </row>
    <row r="1034" spans="1:2" x14ac:dyDescent="0.25">
      <c r="A1034" s="9">
        <v>43402</v>
      </c>
      <c r="B1034">
        <v>142.26236542763399</v>
      </c>
    </row>
    <row r="1035" spans="1:2" x14ac:dyDescent="0.25">
      <c r="A1035" s="9">
        <v>43403</v>
      </c>
      <c r="B1035">
        <v>142.361737124217</v>
      </c>
    </row>
    <row r="1036" spans="1:2" x14ac:dyDescent="0.25">
      <c r="A1036" s="9">
        <v>43404</v>
      </c>
      <c r="B1036">
        <v>142.45679087129699</v>
      </c>
    </row>
    <row r="1037" spans="1:2" x14ac:dyDescent="0.25">
      <c r="A1037" s="9">
        <v>43405</v>
      </c>
      <c r="B1037">
        <v>142.551609908367</v>
      </c>
    </row>
    <row r="1038" spans="1:2" x14ac:dyDescent="0.25">
      <c r="A1038" s="9">
        <v>43406</v>
      </c>
      <c r="B1038">
        <v>142.64057056451199</v>
      </c>
    </row>
    <row r="1039" spans="1:2" x14ac:dyDescent="0.25">
      <c r="A1039" s="9">
        <v>43407</v>
      </c>
      <c r="B1039">
        <v>142.73899804802599</v>
      </c>
    </row>
    <row r="1040" spans="1:2" x14ac:dyDescent="0.25">
      <c r="A1040" s="9">
        <v>43408</v>
      </c>
      <c r="B1040">
        <v>142.83657645986099</v>
      </c>
    </row>
    <row r="1041" spans="1:2" x14ac:dyDescent="0.25">
      <c r="A1041" s="9">
        <v>43409</v>
      </c>
      <c r="B1041">
        <v>142.935903891902</v>
      </c>
    </row>
    <row r="1042" spans="1:2" x14ac:dyDescent="0.25">
      <c r="A1042" s="9">
        <v>43410</v>
      </c>
      <c r="B1042">
        <v>143.040210055567</v>
      </c>
    </row>
    <row r="1043" spans="1:2" x14ac:dyDescent="0.25">
      <c r="A1043" s="9">
        <v>43411</v>
      </c>
      <c r="B1043">
        <v>143.13334802411001</v>
      </c>
    </row>
    <row r="1044" spans="1:2" x14ac:dyDescent="0.25">
      <c r="A1044" s="9">
        <v>43412</v>
      </c>
      <c r="B1044">
        <v>143.231408736388</v>
      </c>
    </row>
    <row r="1045" spans="1:2" x14ac:dyDescent="0.25">
      <c r="A1045" s="9">
        <v>43413</v>
      </c>
      <c r="B1045">
        <v>143.32698402011701</v>
      </c>
    </row>
    <row r="1046" spans="1:2" x14ac:dyDescent="0.25">
      <c r="A1046" s="9">
        <v>43414</v>
      </c>
      <c r="B1046">
        <v>143.42522031131699</v>
      </c>
    </row>
    <row r="1047" spans="1:2" x14ac:dyDescent="0.25">
      <c r="A1047" s="9">
        <v>43415</v>
      </c>
      <c r="B1047">
        <v>143.51981848344701</v>
      </c>
    </row>
    <row r="1048" spans="1:2" x14ac:dyDescent="0.25">
      <c r="A1048" s="9">
        <v>43416</v>
      </c>
      <c r="B1048">
        <v>143.61878540027899</v>
      </c>
    </row>
    <row r="1049" spans="1:2" x14ac:dyDescent="0.25">
      <c r="A1049" s="9">
        <v>43417</v>
      </c>
      <c r="B1049">
        <v>143.716079196549</v>
      </c>
    </row>
    <row r="1050" spans="1:2" x14ac:dyDescent="0.25">
      <c r="A1050" s="9">
        <v>43418</v>
      </c>
      <c r="B1050">
        <v>143.826373876063</v>
      </c>
    </row>
    <row r="1051" spans="1:2" x14ac:dyDescent="0.25">
      <c r="A1051" s="9">
        <v>43419</v>
      </c>
      <c r="B1051">
        <v>143.92442023523799</v>
      </c>
    </row>
    <row r="1052" spans="1:2" x14ac:dyDescent="0.25">
      <c r="A1052" s="9">
        <v>43420</v>
      </c>
      <c r="B1052">
        <v>144.01243326067501</v>
      </c>
    </row>
    <row r="1053" spans="1:2" x14ac:dyDescent="0.25">
      <c r="A1053" s="9">
        <v>43421</v>
      </c>
      <c r="B1053">
        <v>144.09927729588</v>
      </c>
    </row>
    <row r="1054" spans="1:2" x14ac:dyDescent="0.25">
      <c r="A1054" s="9">
        <v>43422</v>
      </c>
      <c r="B1054">
        <v>144.207260682174</v>
      </c>
    </row>
    <row r="1055" spans="1:2" x14ac:dyDescent="0.25">
      <c r="A1055" s="9">
        <v>43423</v>
      </c>
      <c r="B1055">
        <v>144.308552605877</v>
      </c>
    </row>
    <row r="1056" spans="1:2" x14ac:dyDescent="0.25">
      <c r="A1056" s="9">
        <v>43424</v>
      </c>
      <c r="B1056">
        <v>144.40580775503699</v>
      </c>
    </row>
    <row r="1057" spans="1:2" x14ac:dyDescent="0.25">
      <c r="A1057" s="9">
        <v>43425</v>
      </c>
      <c r="B1057">
        <v>144.50079908173799</v>
      </c>
    </row>
    <row r="1058" spans="1:2" x14ac:dyDescent="0.25">
      <c r="A1058" s="9">
        <v>43426</v>
      </c>
      <c r="B1058">
        <v>144.603573154077</v>
      </c>
    </row>
    <row r="1059" spans="1:2" x14ac:dyDescent="0.25">
      <c r="A1059" s="9">
        <v>43427</v>
      </c>
      <c r="B1059">
        <v>144.70087288586799</v>
      </c>
    </row>
    <row r="1060" spans="1:2" x14ac:dyDescent="0.25">
      <c r="A1060" s="9">
        <v>43428</v>
      </c>
      <c r="B1060">
        <v>144.806701501014</v>
      </c>
    </row>
    <row r="1061" spans="1:2" x14ac:dyDescent="0.25">
      <c r="A1061" s="9">
        <v>43429</v>
      </c>
      <c r="B1061">
        <v>144.89970282334701</v>
      </c>
    </row>
    <row r="1062" spans="1:2" x14ac:dyDescent="0.25">
      <c r="A1062" s="9">
        <v>43430</v>
      </c>
      <c r="B1062">
        <v>144.99345209817699</v>
      </c>
    </row>
    <row r="1063" spans="1:2" x14ac:dyDescent="0.25">
      <c r="A1063" s="9">
        <v>43431</v>
      </c>
      <c r="B1063">
        <v>145.091283373686</v>
      </c>
    </row>
    <row r="1064" spans="1:2" x14ac:dyDescent="0.25">
      <c r="A1064" s="9">
        <v>43432</v>
      </c>
      <c r="B1064">
        <v>145.19439835729801</v>
      </c>
    </row>
    <row r="1065" spans="1:2" x14ac:dyDescent="0.25">
      <c r="A1065" s="9">
        <v>43433</v>
      </c>
      <c r="B1065">
        <v>145.29861561486601</v>
      </c>
    </row>
    <row r="1066" spans="1:2" x14ac:dyDescent="0.25">
      <c r="A1066" s="9">
        <v>43434</v>
      </c>
      <c r="B1066">
        <v>145.403981578448</v>
      </c>
    </row>
    <row r="1067" spans="1:2" x14ac:dyDescent="0.25">
      <c r="A1067" s="9">
        <v>43435</v>
      </c>
      <c r="B1067">
        <v>145.500445505534</v>
      </c>
    </row>
    <row r="1068" spans="1:2" x14ac:dyDescent="0.25">
      <c r="A1068" s="9">
        <v>43436</v>
      </c>
      <c r="B1068">
        <v>145.60826894907601</v>
      </c>
    </row>
    <row r="1069" spans="1:2" x14ac:dyDescent="0.25">
      <c r="A1069" s="9">
        <v>43437</v>
      </c>
      <c r="B1069">
        <v>145.72681520677699</v>
      </c>
    </row>
    <row r="1070" spans="1:2" x14ac:dyDescent="0.25">
      <c r="A1070" s="9">
        <v>43438</v>
      </c>
      <c r="B1070">
        <v>145.83303007145301</v>
      </c>
    </row>
    <row r="1071" spans="1:2" x14ac:dyDescent="0.25">
      <c r="A1071" s="9">
        <v>43439</v>
      </c>
      <c r="B1071">
        <v>145.919083156592</v>
      </c>
    </row>
    <row r="1072" spans="1:2" x14ac:dyDescent="0.25">
      <c r="A1072" s="9">
        <v>43440</v>
      </c>
      <c r="B1072">
        <v>146.01884012046</v>
      </c>
    </row>
    <row r="1073" spans="1:2" x14ac:dyDescent="0.25">
      <c r="A1073" s="9">
        <v>43441</v>
      </c>
      <c r="B1073">
        <v>146.11975368794501</v>
      </c>
    </row>
    <row r="1074" spans="1:2" x14ac:dyDescent="0.25">
      <c r="A1074" s="9">
        <v>43442</v>
      </c>
      <c r="B1074">
        <v>146.21461065227101</v>
      </c>
    </row>
    <row r="1075" spans="1:2" x14ac:dyDescent="0.25">
      <c r="A1075" s="9">
        <v>43443</v>
      </c>
      <c r="B1075">
        <v>146.32343845289199</v>
      </c>
    </row>
    <row r="1076" spans="1:2" x14ac:dyDescent="0.25">
      <c r="A1076" s="9">
        <v>43444</v>
      </c>
      <c r="B1076">
        <v>146.42225185967101</v>
      </c>
    </row>
    <row r="1077" spans="1:2" x14ac:dyDescent="0.25">
      <c r="A1077" s="9">
        <v>43445</v>
      </c>
      <c r="B1077">
        <v>146.52431191152999</v>
      </c>
    </row>
    <row r="1078" spans="1:2" x14ac:dyDescent="0.25">
      <c r="A1078" s="9">
        <v>43446</v>
      </c>
      <c r="B1078">
        <v>146.62595007712</v>
      </c>
    </row>
    <row r="1079" spans="1:2" x14ac:dyDescent="0.25">
      <c r="A1079" s="9">
        <v>43447</v>
      </c>
      <c r="B1079">
        <v>146.73491098942699</v>
      </c>
    </row>
    <row r="1080" spans="1:2" x14ac:dyDescent="0.25">
      <c r="A1080" s="9">
        <v>43448</v>
      </c>
      <c r="B1080">
        <v>146.83878768112999</v>
      </c>
    </row>
    <row r="1081" spans="1:2" x14ac:dyDescent="0.25">
      <c r="A1081" s="9">
        <v>43449</v>
      </c>
      <c r="B1081">
        <v>146.94343297545501</v>
      </c>
    </row>
    <row r="1082" spans="1:2" x14ac:dyDescent="0.25">
      <c r="A1082" s="9">
        <v>43450</v>
      </c>
      <c r="B1082">
        <v>147.02996871997399</v>
      </c>
    </row>
    <row r="1083" spans="1:2" x14ac:dyDescent="0.25">
      <c r="A1083" s="9">
        <v>43451</v>
      </c>
      <c r="B1083">
        <v>147.123997699765</v>
      </c>
    </row>
    <row r="1084" spans="1:2" x14ac:dyDescent="0.25">
      <c r="A1084" s="9">
        <v>43452</v>
      </c>
      <c r="B1084">
        <v>147.219022446933</v>
      </c>
    </row>
    <row r="1085" spans="1:2" x14ac:dyDescent="0.25">
      <c r="A1085" s="9">
        <v>43453</v>
      </c>
      <c r="B1085">
        <v>147.31516160715</v>
      </c>
    </row>
    <row r="1086" spans="1:2" x14ac:dyDescent="0.25">
      <c r="A1086" s="9">
        <v>43454</v>
      </c>
      <c r="B1086">
        <v>147.41528679785199</v>
      </c>
    </row>
    <row r="1087" spans="1:2" x14ac:dyDescent="0.25">
      <c r="A1087" s="9">
        <v>43455</v>
      </c>
      <c r="B1087">
        <v>147.52100367502501</v>
      </c>
    </row>
    <row r="1088" spans="1:2" x14ac:dyDescent="0.25">
      <c r="A1088" s="9">
        <v>43456</v>
      </c>
      <c r="B1088">
        <v>147.62351797382999</v>
      </c>
    </row>
    <row r="1089" spans="1:2" x14ac:dyDescent="0.25">
      <c r="A1089" s="9">
        <v>43457</v>
      </c>
      <c r="B1089">
        <v>147.71876306288601</v>
      </c>
    </row>
    <row r="1090" spans="1:2" x14ac:dyDescent="0.25">
      <c r="A1090" s="9">
        <v>43458</v>
      </c>
      <c r="B1090">
        <v>147.82352945344701</v>
      </c>
    </row>
    <row r="1091" spans="1:2" x14ac:dyDescent="0.25">
      <c r="A1091" s="9">
        <v>43459</v>
      </c>
      <c r="B1091">
        <v>147.932073748817</v>
      </c>
    </row>
    <row r="1092" spans="1:2" x14ac:dyDescent="0.25">
      <c r="A1092" s="9">
        <v>43460</v>
      </c>
      <c r="B1092">
        <v>148.03814522281499</v>
      </c>
    </row>
    <row r="1093" spans="1:2" x14ac:dyDescent="0.25">
      <c r="A1093" s="9">
        <v>43461</v>
      </c>
      <c r="B1093">
        <v>148.141005116473</v>
      </c>
    </row>
    <row r="1094" spans="1:2" x14ac:dyDescent="0.25">
      <c r="A1094" s="9">
        <v>43462</v>
      </c>
      <c r="B1094">
        <v>148.23690329120399</v>
      </c>
    </row>
    <row r="1095" spans="1:2" x14ac:dyDescent="0.25">
      <c r="A1095" s="9">
        <v>43463</v>
      </c>
      <c r="B1095">
        <v>148.33305450766201</v>
      </c>
    </row>
    <row r="1096" spans="1:2" x14ac:dyDescent="0.25">
      <c r="A1096" s="9">
        <v>43464</v>
      </c>
      <c r="B1096">
        <v>148.43692654973199</v>
      </c>
    </row>
    <row r="1097" spans="1:2" x14ac:dyDescent="0.25">
      <c r="A1097" s="9">
        <v>43465</v>
      </c>
      <c r="B1097">
        <v>148.538681404496</v>
      </c>
    </row>
    <row r="1098" spans="1:2" x14ac:dyDescent="0.25">
      <c r="A1098" s="9">
        <v>43466</v>
      </c>
      <c r="B1098">
        <v>148.65034715031101</v>
      </c>
    </row>
    <row r="1099" spans="1:2" x14ac:dyDescent="0.25">
      <c r="A1099" s="9">
        <v>43467</v>
      </c>
      <c r="B1099">
        <v>148.76111974773599</v>
      </c>
    </row>
    <row r="1100" spans="1:2" x14ac:dyDescent="0.25">
      <c r="A1100" s="9">
        <v>43468</v>
      </c>
      <c r="B1100">
        <v>148.86597338943801</v>
      </c>
    </row>
    <row r="1101" spans="1:2" x14ac:dyDescent="0.25">
      <c r="A1101" s="9">
        <v>43469</v>
      </c>
      <c r="B1101">
        <v>148.961496461916</v>
      </c>
    </row>
    <row r="1102" spans="1:2" x14ac:dyDescent="0.25">
      <c r="A1102" s="9">
        <v>43470</v>
      </c>
      <c r="B1102">
        <v>149.05722310040599</v>
      </c>
    </row>
    <row r="1103" spans="1:2" x14ac:dyDescent="0.25">
      <c r="A1103" s="9">
        <v>43471</v>
      </c>
      <c r="B1103">
        <v>149.157635458351</v>
      </c>
    </row>
    <row r="1104" spans="1:2" x14ac:dyDescent="0.25">
      <c r="A1104" s="9">
        <v>43472</v>
      </c>
      <c r="B1104">
        <v>149.26081337983399</v>
      </c>
    </row>
    <row r="1105" spans="1:2" x14ac:dyDescent="0.25">
      <c r="A1105" s="9">
        <v>43473</v>
      </c>
      <c r="B1105">
        <v>149.36885347188601</v>
      </c>
    </row>
    <row r="1106" spans="1:2" x14ac:dyDescent="0.25">
      <c r="A1106" s="9">
        <v>43474</v>
      </c>
      <c r="B1106">
        <v>149.476653485833</v>
      </c>
    </row>
    <row r="1107" spans="1:2" x14ac:dyDescent="0.25">
      <c r="A1107" s="9">
        <v>43475</v>
      </c>
      <c r="B1107">
        <v>149.57710940260699</v>
      </c>
    </row>
    <row r="1108" spans="1:2" x14ac:dyDescent="0.25">
      <c r="A1108" s="9">
        <v>43476</v>
      </c>
      <c r="B1108">
        <v>149.68207850787601</v>
      </c>
    </row>
    <row r="1109" spans="1:2" x14ac:dyDescent="0.25">
      <c r="A1109" s="9">
        <v>43477</v>
      </c>
      <c r="B1109">
        <v>149.792341528197</v>
      </c>
    </row>
    <row r="1110" spans="1:2" x14ac:dyDescent="0.25">
      <c r="A1110" s="9">
        <v>43478</v>
      </c>
      <c r="B1110">
        <v>149.89721139404401</v>
      </c>
    </row>
    <row r="1111" spans="1:2" x14ac:dyDescent="0.25">
      <c r="A1111" s="9">
        <v>43479</v>
      </c>
      <c r="B1111">
        <v>149.99999822966299</v>
      </c>
    </row>
    <row r="1112" spans="1:2" x14ac:dyDescent="0.25">
      <c r="A1112" s="9">
        <v>43480</v>
      </c>
      <c r="B1112">
        <v>150.08718660552699</v>
      </c>
    </row>
    <row r="1113" spans="1:2" x14ac:dyDescent="0.25">
      <c r="A1113" s="9">
        <v>43481</v>
      </c>
      <c r="B1113">
        <v>150.185760455208</v>
      </c>
    </row>
    <row r="1114" spans="1:2" x14ac:dyDescent="0.25">
      <c r="A1114" s="9">
        <v>43482</v>
      </c>
      <c r="B1114">
        <v>150.28879292278199</v>
      </c>
    </row>
    <row r="1115" spans="1:2" x14ac:dyDescent="0.25">
      <c r="A1115" s="9">
        <v>43483</v>
      </c>
      <c r="B1115">
        <v>150.39114478966201</v>
      </c>
    </row>
    <row r="1116" spans="1:2" x14ac:dyDescent="0.25">
      <c r="A1116" s="9">
        <v>43484</v>
      </c>
      <c r="B1116">
        <v>150.49424248046699</v>
      </c>
    </row>
    <row r="1117" spans="1:2" x14ac:dyDescent="0.25">
      <c r="A1117" s="9">
        <v>43485</v>
      </c>
      <c r="B1117">
        <v>150.59722780650301</v>
      </c>
    </row>
    <row r="1118" spans="1:2" x14ac:dyDescent="0.25">
      <c r="A1118" s="9">
        <v>43486</v>
      </c>
      <c r="B1118">
        <v>150.710700708617</v>
      </c>
    </row>
    <row r="1119" spans="1:2" x14ac:dyDescent="0.25">
      <c r="A1119" s="9">
        <v>43487</v>
      </c>
      <c r="B1119">
        <v>150.82290195454701</v>
      </c>
    </row>
    <row r="1120" spans="1:2" x14ac:dyDescent="0.25">
      <c r="A1120" s="9">
        <v>43488</v>
      </c>
      <c r="B1120">
        <v>150.92633775946999</v>
      </c>
    </row>
    <row r="1121" spans="1:2" x14ac:dyDescent="0.25">
      <c r="A1121" s="9">
        <v>43489</v>
      </c>
      <c r="B1121">
        <v>151.02643403007701</v>
      </c>
    </row>
    <row r="1122" spans="1:2" x14ac:dyDescent="0.25">
      <c r="A1122" s="9">
        <v>43490</v>
      </c>
      <c r="B1122">
        <v>151.13009402545799</v>
      </c>
    </row>
    <row r="1123" spans="1:2" x14ac:dyDescent="0.25">
      <c r="A1123" s="9">
        <v>43491</v>
      </c>
      <c r="B1123">
        <v>151.23242066095401</v>
      </c>
    </row>
    <row r="1124" spans="1:2" x14ac:dyDescent="0.25">
      <c r="A1124" s="9">
        <v>43492</v>
      </c>
      <c r="B1124">
        <v>151.33001499659201</v>
      </c>
    </row>
    <row r="1125" spans="1:2" x14ac:dyDescent="0.25">
      <c r="A1125" s="9">
        <v>43493</v>
      </c>
      <c r="B1125">
        <v>151.426904470089</v>
      </c>
    </row>
    <row r="1126" spans="1:2" x14ac:dyDescent="0.25">
      <c r="A1126" s="9">
        <v>43494</v>
      </c>
      <c r="B1126">
        <v>151.535047932743</v>
      </c>
    </row>
    <row r="1127" spans="1:2" x14ac:dyDescent="0.25">
      <c r="A1127" s="9">
        <v>43495</v>
      </c>
      <c r="B1127">
        <v>151.638411452214</v>
      </c>
    </row>
    <row r="1128" spans="1:2" x14ac:dyDescent="0.25">
      <c r="A1128" s="9">
        <v>43496</v>
      </c>
      <c r="B1128">
        <v>151.73928113384301</v>
      </c>
    </row>
    <row r="1129" spans="1:2" x14ac:dyDescent="0.25">
      <c r="A1129" s="9">
        <v>43497</v>
      </c>
      <c r="B1129">
        <v>151.843205416779</v>
      </c>
    </row>
    <row r="1130" spans="1:2" x14ac:dyDescent="0.25">
      <c r="A1130" s="9">
        <v>43498</v>
      </c>
      <c r="B1130">
        <v>151.95122957520101</v>
      </c>
    </row>
    <row r="1131" spans="1:2" x14ac:dyDescent="0.25">
      <c r="A1131" s="9">
        <v>43499</v>
      </c>
      <c r="B1131">
        <v>152.06928297448599</v>
      </c>
    </row>
    <row r="1132" spans="1:2" x14ac:dyDescent="0.25">
      <c r="A1132" s="9">
        <v>43500</v>
      </c>
      <c r="B1132">
        <v>152.16869985729801</v>
      </c>
    </row>
    <row r="1133" spans="1:2" x14ac:dyDescent="0.25">
      <c r="A1133" s="9">
        <v>43501</v>
      </c>
      <c r="B1133">
        <v>152.27132069587799</v>
      </c>
    </row>
    <row r="1134" spans="1:2" x14ac:dyDescent="0.25">
      <c r="A1134" s="9">
        <v>43502</v>
      </c>
      <c r="B1134">
        <v>152.38307029539999</v>
      </c>
    </row>
    <row r="1135" spans="1:2" x14ac:dyDescent="0.25">
      <c r="A1135" s="9">
        <v>43503</v>
      </c>
      <c r="B1135">
        <v>152.49780307677</v>
      </c>
    </row>
    <row r="1136" spans="1:2" x14ac:dyDescent="0.25">
      <c r="A1136" s="9">
        <v>43504</v>
      </c>
      <c r="B1136">
        <v>152.60722794041899</v>
      </c>
    </row>
    <row r="1137" spans="1:2" x14ac:dyDescent="0.25">
      <c r="A1137" s="9">
        <v>43505</v>
      </c>
      <c r="B1137">
        <v>152.70954012941999</v>
      </c>
    </row>
    <row r="1138" spans="1:2" x14ac:dyDescent="0.25">
      <c r="A1138" s="9">
        <v>43506</v>
      </c>
      <c r="B1138">
        <v>152.826032584769</v>
      </c>
    </row>
    <row r="1139" spans="1:2" x14ac:dyDescent="0.25">
      <c r="A1139" s="9">
        <v>43507</v>
      </c>
      <c r="B1139">
        <v>152.92479211470501</v>
      </c>
    </row>
    <row r="1140" spans="1:2" x14ac:dyDescent="0.25">
      <c r="A1140" s="9">
        <v>43508</v>
      </c>
      <c r="B1140">
        <v>153.02593266949</v>
      </c>
    </row>
    <row r="1141" spans="1:2" x14ac:dyDescent="0.25">
      <c r="A1141" s="9">
        <v>43509</v>
      </c>
      <c r="B1141">
        <v>153.13004427412599</v>
      </c>
    </row>
    <row r="1142" spans="1:2" x14ac:dyDescent="0.25">
      <c r="A1142" s="9">
        <v>43510</v>
      </c>
      <c r="B1142">
        <v>153.245431069609</v>
      </c>
    </row>
    <row r="1143" spans="1:2" x14ac:dyDescent="0.25">
      <c r="A1143" s="9">
        <v>43511</v>
      </c>
      <c r="B1143">
        <v>153.35543573169099</v>
      </c>
    </row>
    <row r="1144" spans="1:2" x14ac:dyDescent="0.25">
      <c r="A1144" s="9">
        <v>43512</v>
      </c>
      <c r="B1144">
        <v>153.45923121898699</v>
      </c>
    </row>
    <row r="1145" spans="1:2" x14ac:dyDescent="0.25">
      <c r="A1145" s="9">
        <v>43513</v>
      </c>
      <c r="B1145">
        <v>153.57105383988301</v>
      </c>
    </row>
    <row r="1146" spans="1:2" x14ac:dyDescent="0.25">
      <c r="A1146" s="9">
        <v>43514</v>
      </c>
      <c r="B1146">
        <v>153.67387304673201</v>
      </c>
    </row>
    <row r="1147" spans="1:2" x14ac:dyDescent="0.25">
      <c r="A1147" s="9">
        <v>43515</v>
      </c>
      <c r="B1147">
        <v>153.779736650811</v>
      </c>
    </row>
    <row r="1148" spans="1:2" x14ac:dyDescent="0.25">
      <c r="A1148" s="9">
        <v>43516</v>
      </c>
      <c r="B1148">
        <v>153.88521270945</v>
      </c>
    </row>
    <row r="1149" spans="1:2" x14ac:dyDescent="0.25">
      <c r="A1149" s="9">
        <v>43517</v>
      </c>
      <c r="B1149">
        <v>154.00564113821301</v>
      </c>
    </row>
    <row r="1150" spans="1:2" x14ac:dyDescent="0.25">
      <c r="A1150" s="9">
        <v>43518</v>
      </c>
      <c r="B1150">
        <v>154.10206549556199</v>
      </c>
    </row>
    <row r="1151" spans="1:2" x14ac:dyDescent="0.25">
      <c r="A1151" s="9">
        <v>43519</v>
      </c>
      <c r="B1151">
        <v>154.212638399377</v>
      </c>
    </row>
    <row r="1152" spans="1:2" x14ac:dyDescent="0.25">
      <c r="A1152" s="9">
        <v>43520</v>
      </c>
      <c r="B1152">
        <v>154.31525265708001</v>
      </c>
    </row>
    <row r="1153" spans="1:2" x14ac:dyDescent="0.25">
      <c r="A1153" s="9">
        <v>43521</v>
      </c>
      <c r="B1153">
        <v>154.41631504705299</v>
      </c>
    </row>
    <row r="1154" spans="1:2" x14ac:dyDescent="0.25">
      <c r="A1154" s="9">
        <v>43522</v>
      </c>
      <c r="B1154">
        <v>154.521825170608</v>
      </c>
    </row>
    <row r="1155" spans="1:2" x14ac:dyDescent="0.25">
      <c r="A1155" s="9">
        <v>43523</v>
      </c>
      <c r="B1155">
        <v>154.63075954305501</v>
      </c>
    </row>
    <row r="1156" spans="1:2" x14ac:dyDescent="0.25">
      <c r="A1156" s="9">
        <v>43524</v>
      </c>
      <c r="B1156">
        <v>154.73572653543499</v>
      </c>
    </row>
    <row r="1157" spans="1:2" x14ac:dyDescent="0.25">
      <c r="A1157" s="9">
        <v>43525</v>
      </c>
      <c r="B1157">
        <v>154.83318859271199</v>
      </c>
    </row>
    <row r="1158" spans="1:2" x14ac:dyDescent="0.25">
      <c r="A1158" s="9">
        <v>43526</v>
      </c>
      <c r="B1158">
        <v>154.93836315821599</v>
      </c>
    </row>
    <row r="1159" spans="1:2" x14ac:dyDescent="0.25">
      <c r="A1159" s="9">
        <v>43527</v>
      </c>
      <c r="B1159">
        <v>155.04649457903599</v>
      </c>
    </row>
    <row r="1160" spans="1:2" x14ac:dyDescent="0.25">
      <c r="A1160" s="9">
        <v>43528</v>
      </c>
      <c r="B1160">
        <v>155.149085265417</v>
      </c>
    </row>
    <row r="1161" spans="1:2" x14ac:dyDescent="0.25">
      <c r="A1161" s="9">
        <v>43529</v>
      </c>
      <c r="B1161">
        <v>155.265878722991</v>
      </c>
    </row>
    <row r="1162" spans="1:2" x14ac:dyDescent="0.25">
      <c r="A1162" s="9">
        <v>43530</v>
      </c>
      <c r="B1162">
        <v>155.370197295156</v>
      </c>
    </row>
    <row r="1163" spans="1:2" x14ac:dyDescent="0.25">
      <c r="A1163" s="9">
        <v>43531</v>
      </c>
      <c r="B1163">
        <v>155.46269221389201</v>
      </c>
    </row>
    <row r="1164" spans="1:2" x14ac:dyDescent="0.25">
      <c r="A1164" s="9">
        <v>43532</v>
      </c>
      <c r="B1164">
        <v>155.561013052335</v>
      </c>
    </row>
    <row r="1165" spans="1:2" x14ac:dyDescent="0.25">
      <c r="A1165" s="9">
        <v>43533</v>
      </c>
      <c r="B1165">
        <v>155.663417384269</v>
      </c>
    </row>
    <row r="1166" spans="1:2" x14ac:dyDescent="0.25">
      <c r="A1166" s="9">
        <v>43534</v>
      </c>
      <c r="B1166">
        <v>155.76520520587999</v>
      </c>
    </row>
    <row r="1167" spans="1:2" x14ac:dyDescent="0.25">
      <c r="A1167" s="9">
        <v>43535</v>
      </c>
      <c r="B1167">
        <v>155.86729679577201</v>
      </c>
    </row>
    <row r="1168" spans="1:2" x14ac:dyDescent="0.25">
      <c r="A1168" s="9">
        <v>43536</v>
      </c>
      <c r="B1168">
        <v>155.95876844708701</v>
      </c>
    </row>
    <row r="1169" spans="1:2" x14ac:dyDescent="0.25">
      <c r="A1169" s="9">
        <v>43537</v>
      </c>
      <c r="B1169">
        <v>156.06744082796899</v>
      </c>
    </row>
    <row r="1170" spans="1:2" x14ac:dyDescent="0.25">
      <c r="A1170" s="9">
        <v>43538</v>
      </c>
      <c r="B1170">
        <v>156.17537693478499</v>
      </c>
    </row>
    <row r="1171" spans="1:2" x14ac:dyDescent="0.25">
      <c r="A1171" s="9">
        <v>43539</v>
      </c>
      <c r="B1171">
        <v>156.29620305576699</v>
      </c>
    </row>
    <row r="1172" spans="1:2" x14ac:dyDescent="0.25">
      <c r="A1172" s="9">
        <v>43540</v>
      </c>
      <c r="B1172">
        <v>156.40292054072401</v>
      </c>
    </row>
    <row r="1173" spans="1:2" x14ac:dyDescent="0.25">
      <c r="A1173" s="9">
        <v>43541</v>
      </c>
      <c r="B1173">
        <v>156.508846007964</v>
      </c>
    </row>
    <row r="1174" spans="1:2" x14ac:dyDescent="0.25">
      <c r="A1174" s="9">
        <v>43542</v>
      </c>
      <c r="B1174">
        <v>156.60970097897501</v>
      </c>
    </row>
    <row r="1175" spans="1:2" x14ac:dyDescent="0.25">
      <c r="A1175" s="9">
        <v>43543</v>
      </c>
      <c r="B1175">
        <v>156.736120501013</v>
      </c>
    </row>
    <row r="1176" spans="1:2" x14ac:dyDescent="0.25">
      <c r="A1176" s="9">
        <v>43544</v>
      </c>
      <c r="B1176">
        <v>156.84949310195199</v>
      </c>
    </row>
    <row r="1177" spans="1:2" x14ac:dyDescent="0.25">
      <c r="A1177" s="9">
        <v>43545</v>
      </c>
      <c r="B1177">
        <v>156.95381899524801</v>
      </c>
    </row>
    <row r="1178" spans="1:2" x14ac:dyDescent="0.25">
      <c r="A1178" s="9">
        <v>43546</v>
      </c>
      <c r="B1178">
        <v>157.059953287589</v>
      </c>
    </row>
    <row r="1179" spans="1:2" x14ac:dyDescent="0.25">
      <c r="A1179" s="9">
        <v>43547</v>
      </c>
      <c r="B1179">
        <v>157.177343071347</v>
      </c>
    </row>
    <row r="1180" spans="1:2" x14ac:dyDescent="0.25">
      <c r="A1180" s="9">
        <v>43548</v>
      </c>
      <c r="B1180">
        <v>157.28013801821399</v>
      </c>
    </row>
    <row r="1181" spans="1:2" x14ac:dyDescent="0.25">
      <c r="A1181" s="9">
        <v>43549</v>
      </c>
      <c r="B1181">
        <v>157.38120850302499</v>
      </c>
    </row>
    <row r="1182" spans="1:2" x14ac:dyDescent="0.25">
      <c r="A1182" s="9">
        <v>43550</v>
      </c>
      <c r="B1182">
        <v>157.492437185743</v>
      </c>
    </row>
    <row r="1183" spans="1:2" x14ac:dyDescent="0.25">
      <c r="A1183" s="9">
        <v>43551</v>
      </c>
      <c r="B1183">
        <v>157.60383579336599</v>
      </c>
    </row>
    <row r="1184" spans="1:2" x14ac:dyDescent="0.25">
      <c r="A1184" s="9">
        <v>43552</v>
      </c>
      <c r="B1184">
        <v>157.706065357981</v>
      </c>
    </row>
    <row r="1185" spans="1:2" x14ac:dyDescent="0.25">
      <c r="A1185" s="9">
        <v>43553</v>
      </c>
      <c r="B1185">
        <v>157.800863009018</v>
      </c>
    </row>
    <row r="1186" spans="1:2" x14ac:dyDescent="0.25">
      <c r="A1186" s="9">
        <v>43554</v>
      </c>
      <c r="B1186">
        <v>157.89937575145299</v>
      </c>
    </row>
    <row r="1187" spans="1:2" x14ac:dyDescent="0.25">
      <c r="A1187" s="9">
        <v>43555</v>
      </c>
      <c r="B1187">
        <v>158.00740791765401</v>
      </c>
    </row>
    <row r="1188" spans="1:2" x14ac:dyDescent="0.25">
      <c r="A1188" s="9">
        <v>43556</v>
      </c>
      <c r="B1188">
        <v>158.104919639408</v>
      </c>
    </row>
    <row r="1189" spans="1:2" x14ac:dyDescent="0.25">
      <c r="A1189" s="9">
        <v>43557</v>
      </c>
      <c r="B1189">
        <v>158.22519739854999</v>
      </c>
    </row>
    <row r="1190" spans="1:2" x14ac:dyDescent="0.25">
      <c r="A1190" s="9">
        <v>43558</v>
      </c>
      <c r="B1190">
        <v>158.33037575694499</v>
      </c>
    </row>
    <row r="1191" spans="1:2" x14ac:dyDescent="0.25">
      <c r="A1191" s="9">
        <v>43559</v>
      </c>
      <c r="B1191">
        <v>158.441449361845</v>
      </c>
    </row>
    <row r="1192" spans="1:2" x14ac:dyDescent="0.25">
      <c r="A1192" s="9">
        <v>43560</v>
      </c>
      <c r="B1192">
        <v>158.54521589609999</v>
      </c>
    </row>
    <row r="1193" spans="1:2" x14ac:dyDescent="0.25">
      <c r="A1193" s="9">
        <v>43561</v>
      </c>
      <c r="B1193">
        <v>158.652880486079</v>
      </c>
    </row>
    <row r="1194" spans="1:2" x14ac:dyDescent="0.25">
      <c r="A1194" s="9">
        <v>43562</v>
      </c>
      <c r="B1194">
        <v>158.76675214302901</v>
      </c>
    </row>
    <row r="1195" spans="1:2" x14ac:dyDescent="0.25">
      <c r="A1195" s="9">
        <v>43563</v>
      </c>
      <c r="B1195">
        <v>158.866714535862</v>
      </c>
    </row>
    <row r="1196" spans="1:2" x14ac:dyDescent="0.25">
      <c r="A1196" s="9">
        <v>43564</v>
      </c>
      <c r="B1196">
        <v>158.97046900443499</v>
      </c>
    </row>
    <row r="1197" spans="1:2" x14ac:dyDescent="0.25">
      <c r="A1197" s="9">
        <v>43565</v>
      </c>
      <c r="B1197">
        <v>159.07679046600899</v>
      </c>
    </row>
    <row r="1198" spans="1:2" x14ac:dyDescent="0.25">
      <c r="A1198" s="9">
        <v>43566</v>
      </c>
      <c r="B1198">
        <v>159.18745416318399</v>
      </c>
    </row>
    <row r="1199" spans="1:2" x14ac:dyDescent="0.25">
      <c r="A1199" s="9">
        <v>43567</v>
      </c>
      <c r="B1199">
        <v>159.302488731788</v>
      </c>
    </row>
    <row r="1200" spans="1:2" x14ac:dyDescent="0.25">
      <c r="A1200" s="9">
        <v>43568</v>
      </c>
      <c r="B1200">
        <v>159.40063956750501</v>
      </c>
    </row>
    <row r="1201" spans="1:2" x14ac:dyDescent="0.25">
      <c r="A1201" s="9">
        <v>43569</v>
      </c>
      <c r="B1201">
        <v>159.503676760698</v>
      </c>
    </row>
    <row r="1202" spans="1:2" x14ac:dyDescent="0.25">
      <c r="A1202" s="9">
        <v>43570</v>
      </c>
      <c r="B1202">
        <v>159.61336991278401</v>
      </c>
    </row>
    <row r="1203" spans="1:2" x14ac:dyDescent="0.25">
      <c r="A1203" s="9">
        <v>43571</v>
      </c>
      <c r="B1203">
        <v>159.73530231613299</v>
      </c>
    </row>
    <row r="1204" spans="1:2" x14ac:dyDescent="0.25">
      <c r="A1204" s="9">
        <v>43572</v>
      </c>
      <c r="B1204">
        <v>159.84980337744801</v>
      </c>
    </row>
    <row r="1205" spans="1:2" x14ac:dyDescent="0.25">
      <c r="A1205" s="9">
        <v>43573</v>
      </c>
      <c r="B1205">
        <v>159.95767705867101</v>
      </c>
    </row>
    <row r="1206" spans="1:2" x14ac:dyDescent="0.25">
      <c r="A1206" s="9">
        <v>43574</v>
      </c>
      <c r="B1206">
        <v>160.063228740082</v>
      </c>
    </row>
    <row r="1207" spans="1:2" x14ac:dyDescent="0.25">
      <c r="A1207" s="9">
        <v>43575</v>
      </c>
      <c r="B1207">
        <v>160.164260644519</v>
      </c>
    </row>
    <row r="1208" spans="1:2" x14ac:dyDescent="0.25">
      <c r="A1208" s="9">
        <v>43576</v>
      </c>
      <c r="B1208">
        <v>160.269091165666</v>
      </c>
    </row>
    <row r="1209" spans="1:2" x14ac:dyDescent="0.25">
      <c r="A1209" s="9">
        <v>43577</v>
      </c>
      <c r="B1209">
        <v>160.38075906040601</v>
      </c>
    </row>
    <row r="1210" spans="1:2" x14ac:dyDescent="0.25">
      <c r="A1210" s="9">
        <v>43578</v>
      </c>
      <c r="B1210">
        <v>160.47917941863099</v>
      </c>
    </row>
    <row r="1211" spans="1:2" x14ac:dyDescent="0.25">
      <c r="A1211" s="9">
        <v>43579</v>
      </c>
      <c r="B1211">
        <v>160.57680882613499</v>
      </c>
    </row>
    <row r="1212" spans="1:2" x14ac:dyDescent="0.25">
      <c r="A1212" s="9">
        <v>43580</v>
      </c>
      <c r="B1212">
        <v>160.684209575545</v>
      </c>
    </row>
    <row r="1213" spans="1:2" x14ac:dyDescent="0.25">
      <c r="A1213" s="9">
        <v>43581</v>
      </c>
      <c r="B1213">
        <v>160.79249959668499</v>
      </c>
    </row>
    <row r="1214" spans="1:2" x14ac:dyDescent="0.25">
      <c r="A1214" s="9">
        <v>43582</v>
      </c>
      <c r="B1214">
        <v>160.91040784294401</v>
      </c>
    </row>
    <row r="1215" spans="1:2" x14ac:dyDescent="0.25">
      <c r="A1215" s="9">
        <v>43583</v>
      </c>
      <c r="B1215">
        <v>161.02201505433499</v>
      </c>
    </row>
    <row r="1216" spans="1:2" x14ac:dyDescent="0.25">
      <c r="A1216" s="9">
        <v>43584</v>
      </c>
      <c r="B1216">
        <v>161.13212362948701</v>
      </c>
    </row>
    <row r="1217" spans="1:2" x14ac:dyDescent="0.25">
      <c r="A1217" s="9">
        <v>43585</v>
      </c>
      <c r="B1217">
        <v>161.23390802085299</v>
      </c>
    </row>
    <row r="1218" spans="1:2" x14ac:dyDescent="0.25">
      <c r="A1218" s="9">
        <v>43586</v>
      </c>
      <c r="B1218">
        <v>161.345127933648</v>
      </c>
    </row>
    <row r="1219" spans="1:2" x14ac:dyDescent="0.25">
      <c r="A1219" s="9">
        <v>43587</v>
      </c>
      <c r="B1219">
        <v>161.45059735022201</v>
      </c>
    </row>
    <row r="1220" spans="1:2" x14ac:dyDescent="0.25">
      <c r="A1220" s="9">
        <v>43588</v>
      </c>
      <c r="B1220">
        <v>161.55817558961999</v>
      </c>
    </row>
    <row r="1221" spans="1:2" x14ac:dyDescent="0.25">
      <c r="A1221" s="9">
        <v>43589</v>
      </c>
      <c r="B1221">
        <v>161.66608581496899</v>
      </c>
    </row>
    <row r="1222" spans="1:2" x14ac:dyDescent="0.25">
      <c r="A1222" s="9">
        <v>43590</v>
      </c>
      <c r="B1222">
        <v>161.776081286466</v>
      </c>
    </row>
    <row r="1223" spans="1:2" x14ac:dyDescent="0.25">
      <c r="A1223" s="9">
        <v>43591</v>
      </c>
      <c r="B1223">
        <v>161.893797654358</v>
      </c>
    </row>
    <row r="1224" spans="1:2" x14ac:dyDescent="0.25">
      <c r="A1224" s="9">
        <v>43592</v>
      </c>
      <c r="B1224">
        <v>161.999334403381</v>
      </c>
    </row>
    <row r="1225" spans="1:2" x14ac:dyDescent="0.25">
      <c r="A1225" s="9">
        <v>43593</v>
      </c>
      <c r="B1225">
        <v>162.11635919302799</v>
      </c>
    </row>
    <row r="1226" spans="1:2" x14ac:dyDescent="0.25">
      <c r="A1226" s="9">
        <v>43594</v>
      </c>
      <c r="B1226">
        <v>162.23485581166099</v>
      </c>
    </row>
    <row r="1227" spans="1:2" x14ac:dyDescent="0.25">
      <c r="A1227" s="9">
        <v>43595</v>
      </c>
      <c r="B1227">
        <v>162.32944351485199</v>
      </c>
    </row>
    <row r="1228" spans="1:2" x14ac:dyDescent="0.25">
      <c r="A1228" s="9">
        <v>43596</v>
      </c>
      <c r="B1228">
        <v>162.43515110489599</v>
      </c>
    </row>
    <row r="1229" spans="1:2" x14ac:dyDescent="0.25">
      <c r="A1229" s="9">
        <v>43597</v>
      </c>
      <c r="B1229">
        <v>162.549972691769</v>
      </c>
    </row>
    <row r="1230" spans="1:2" x14ac:dyDescent="0.25">
      <c r="A1230" s="9">
        <v>43598</v>
      </c>
      <c r="B1230">
        <v>162.658356174776</v>
      </c>
    </row>
    <row r="1231" spans="1:2" x14ac:dyDescent="0.25">
      <c r="A1231" s="9">
        <v>43599</v>
      </c>
      <c r="B1231">
        <v>162.76604974260999</v>
      </c>
    </row>
    <row r="1232" spans="1:2" x14ac:dyDescent="0.25">
      <c r="A1232" s="9">
        <v>43600</v>
      </c>
      <c r="B1232">
        <v>162.879525865864</v>
      </c>
    </row>
    <row r="1233" spans="1:2" x14ac:dyDescent="0.25">
      <c r="A1233" s="9">
        <v>43601</v>
      </c>
      <c r="B1233">
        <v>162.988050546339</v>
      </c>
    </row>
    <row r="1234" spans="1:2" x14ac:dyDescent="0.25">
      <c r="A1234" s="9">
        <v>43602</v>
      </c>
      <c r="B1234">
        <v>163.09271592566</v>
      </c>
    </row>
    <row r="1235" spans="1:2" x14ac:dyDescent="0.25">
      <c r="A1235" s="9">
        <v>43603</v>
      </c>
      <c r="B1235">
        <v>163.19986521651799</v>
      </c>
    </row>
    <row r="1236" spans="1:2" x14ac:dyDescent="0.25">
      <c r="A1236" s="9">
        <v>43604</v>
      </c>
      <c r="B1236">
        <v>163.310217735245</v>
      </c>
    </row>
    <row r="1237" spans="1:2" x14ac:dyDescent="0.25">
      <c r="A1237" s="9">
        <v>43605</v>
      </c>
      <c r="B1237">
        <v>163.42471415588599</v>
      </c>
    </row>
    <row r="1238" spans="1:2" x14ac:dyDescent="0.25">
      <c r="A1238" s="9">
        <v>43606</v>
      </c>
      <c r="B1238">
        <v>163.52695971708599</v>
      </c>
    </row>
    <row r="1239" spans="1:2" x14ac:dyDescent="0.25">
      <c r="A1239" s="9">
        <v>43607</v>
      </c>
      <c r="B1239">
        <v>163.63939737288399</v>
      </c>
    </row>
    <row r="1240" spans="1:2" x14ac:dyDescent="0.25">
      <c r="A1240" s="9">
        <v>43608</v>
      </c>
      <c r="B1240">
        <v>163.74226122897201</v>
      </c>
    </row>
    <row r="1241" spans="1:2" x14ac:dyDescent="0.25">
      <c r="A1241" s="9">
        <v>43609</v>
      </c>
      <c r="B1241">
        <v>163.84869922775999</v>
      </c>
    </row>
    <row r="1242" spans="1:2" x14ac:dyDescent="0.25">
      <c r="A1242" s="9">
        <v>43610</v>
      </c>
      <c r="B1242">
        <v>163.97041231279701</v>
      </c>
    </row>
    <row r="1243" spans="1:2" x14ac:dyDescent="0.25">
      <c r="A1243" s="9">
        <v>43611</v>
      </c>
      <c r="B1243">
        <v>164.08486242540101</v>
      </c>
    </row>
    <row r="1244" spans="1:2" x14ac:dyDescent="0.25">
      <c r="A1244" s="9">
        <v>43612</v>
      </c>
      <c r="B1244">
        <v>164.19380653007701</v>
      </c>
    </row>
    <row r="1245" spans="1:2" x14ac:dyDescent="0.25">
      <c r="A1245" s="9">
        <v>43613</v>
      </c>
      <c r="B1245">
        <v>164.30781491367401</v>
      </c>
    </row>
    <row r="1246" spans="1:2" x14ac:dyDescent="0.25">
      <c r="A1246" s="9">
        <v>43614</v>
      </c>
      <c r="B1246">
        <v>164.421518698787</v>
      </c>
    </row>
    <row r="1247" spans="1:2" x14ac:dyDescent="0.25">
      <c r="A1247" s="9">
        <v>43615</v>
      </c>
      <c r="B1247">
        <v>164.53386494213601</v>
      </c>
    </row>
    <row r="1248" spans="1:2" x14ac:dyDescent="0.25">
      <c r="A1248" s="9">
        <v>43616</v>
      </c>
      <c r="B1248">
        <v>164.63782816081701</v>
      </c>
    </row>
    <row r="1249" spans="1:2" x14ac:dyDescent="0.25">
      <c r="A1249" s="9">
        <v>43617</v>
      </c>
      <c r="B1249">
        <v>164.75448569162799</v>
      </c>
    </row>
    <row r="1250" spans="1:2" x14ac:dyDescent="0.25">
      <c r="A1250" s="9">
        <v>43618</v>
      </c>
      <c r="B1250">
        <v>164.86801432086099</v>
      </c>
    </row>
    <row r="1251" spans="1:2" x14ac:dyDescent="0.25">
      <c r="A1251" s="9">
        <v>43619</v>
      </c>
      <c r="B1251">
        <v>164.990161778724</v>
      </c>
    </row>
    <row r="1252" spans="1:2" x14ac:dyDescent="0.25">
      <c r="A1252" s="9">
        <v>43620</v>
      </c>
      <c r="B1252">
        <v>165.09456342750701</v>
      </c>
    </row>
    <row r="1253" spans="1:2" x14ac:dyDescent="0.25">
      <c r="A1253" s="9">
        <v>43621</v>
      </c>
      <c r="B1253">
        <v>165.21311863486201</v>
      </c>
    </row>
    <row r="1254" spans="1:2" x14ac:dyDescent="0.25">
      <c r="A1254" s="9">
        <v>43622</v>
      </c>
      <c r="B1254">
        <v>165.321949494763</v>
      </c>
    </row>
    <row r="1255" spans="1:2" x14ac:dyDescent="0.25">
      <c r="A1255" s="9">
        <v>43623</v>
      </c>
      <c r="B1255">
        <v>165.44376881142</v>
      </c>
    </row>
    <row r="1256" spans="1:2" x14ac:dyDescent="0.25">
      <c r="A1256" s="9">
        <v>43624</v>
      </c>
      <c r="B1256">
        <v>165.56458005776099</v>
      </c>
    </row>
    <row r="1257" spans="1:2" x14ac:dyDescent="0.25">
      <c r="A1257" s="9">
        <v>43625</v>
      </c>
      <c r="B1257">
        <v>165.67884782899901</v>
      </c>
    </row>
    <row r="1258" spans="1:2" x14ac:dyDescent="0.25">
      <c r="A1258" s="9">
        <v>43626</v>
      </c>
      <c r="B1258">
        <v>165.79189489590399</v>
      </c>
    </row>
    <row r="1259" spans="1:2" x14ac:dyDescent="0.25">
      <c r="A1259" s="9">
        <v>43627</v>
      </c>
      <c r="B1259">
        <v>165.91082770804101</v>
      </c>
    </row>
    <row r="1260" spans="1:2" x14ac:dyDescent="0.25">
      <c r="A1260" s="9">
        <v>43628</v>
      </c>
      <c r="B1260">
        <v>166.00991692802299</v>
      </c>
    </row>
    <row r="1261" spans="1:2" x14ac:dyDescent="0.25">
      <c r="A1261" s="9">
        <v>43629</v>
      </c>
      <c r="B1261">
        <v>166.12246036213301</v>
      </c>
    </row>
    <row r="1262" spans="1:2" x14ac:dyDescent="0.25">
      <c r="A1262" s="9">
        <v>43630</v>
      </c>
      <c r="B1262">
        <v>166.21852506980099</v>
      </c>
    </row>
    <row r="1263" spans="1:2" x14ac:dyDescent="0.25">
      <c r="A1263" s="9">
        <v>43631</v>
      </c>
      <c r="B1263">
        <v>166.34425928704499</v>
      </c>
    </row>
    <row r="1264" spans="1:2" x14ac:dyDescent="0.25">
      <c r="A1264" s="9">
        <v>43632</v>
      </c>
      <c r="B1264">
        <v>166.457920238828</v>
      </c>
    </row>
    <row r="1265" spans="1:2" x14ac:dyDescent="0.25">
      <c r="A1265" s="9">
        <v>43633</v>
      </c>
      <c r="B1265">
        <v>166.57621020141499</v>
      </c>
    </row>
    <row r="1266" spans="1:2" x14ac:dyDescent="0.25">
      <c r="A1266" s="9">
        <v>43634</v>
      </c>
      <c r="B1266">
        <v>166.68023542249199</v>
      </c>
    </row>
    <row r="1267" spans="1:2" x14ac:dyDescent="0.25">
      <c r="A1267" s="9">
        <v>43635</v>
      </c>
      <c r="B1267">
        <v>166.793829827774</v>
      </c>
    </row>
    <row r="1268" spans="1:2" x14ac:dyDescent="0.25">
      <c r="A1268" s="9">
        <v>43636</v>
      </c>
      <c r="B1268">
        <v>166.908418541847</v>
      </c>
    </row>
    <row r="1269" spans="1:2" x14ac:dyDescent="0.25">
      <c r="A1269" s="9">
        <v>43637</v>
      </c>
      <c r="B1269">
        <v>167.01705911827301</v>
      </c>
    </row>
    <row r="1270" spans="1:2" x14ac:dyDescent="0.25">
      <c r="A1270" s="9">
        <v>43638</v>
      </c>
      <c r="B1270">
        <v>167.12666830382699</v>
      </c>
    </row>
    <row r="1271" spans="1:2" x14ac:dyDescent="0.25">
      <c r="A1271" s="9">
        <v>43639</v>
      </c>
      <c r="B1271">
        <v>167.25797298477301</v>
      </c>
    </row>
    <row r="1272" spans="1:2" x14ac:dyDescent="0.25">
      <c r="A1272" s="9">
        <v>43640</v>
      </c>
      <c r="B1272">
        <v>167.369549778249</v>
      </c>
    </row>
    <row r="1273" spans="1:2" x14ac:dyDescent="0.25">
      <c r="A1273" s="9">
        <v>43641</v>
      </c>
      <c r="B1273">
        <v>167.48253745935699</v>
      </c>
    </row>
    <row r="1274" spans="1:2" x14ac:dyDescent="0.25">
      <c r="A1274" s="9">
        <v>43642</v>
      </c>
      <c r="B1274">
        <v>167.60439947236199</v>
      </c>
    </row>
    <row r="1275" spans="1:2" x14ac:dyDescent="0.25">
      <c r="A1275" s="9">
        <v>43643</v>
      </c>
      <c r="B1275">
        <v>167.71468959407301</v>
      </c>
    </row>
    <row r="1276" spans="1:2" x14ac:dyDescent="0.25">
      <c r="A1276" s="9">
        <v>43644</v>
      </c>
      <c r="B1276">
        <v>167.82599602182401</v>
      </c>
    </row>
    <row r="1277" spans="1:2" x14ac:dyDescent="0.25">
      <c r="A1277" s="9">
        <v>43645</v>
      </c>
      <c r="B1277">
        <v>167.93958432894399</v>
      </c>
    </row>
    <row r="1278" spans="1:2" x14ac:dyDescent="0.25">
      <c r="A1278" s="9">
        <v>43646</v>
      </c>
      <c r="B1278">
        <v>168.06387852069199</v>
      </c>
    </row>
    <row r="1279" spans="1:2" x14ac:dyDescent="0.25">
      <c r="A1279" s="9">
        <v>43647</v>
      </c>
      <c r="B1279">
        <v>168.18176833468399</v>
      </c>
    </row>
    <row r="1280" spans="1:2" x14ac:dyDescent="0.25">
      <c r="A1280" s="9">
        <v>43648</v>
      </c>
      <c r="B1280">
        <v>168.30105645368801</v>
      </c>
    </row>
    <row r="1281" spans="1:2" x14ac:dyDescent="0.25">
      <c r="A1281" s="9">
        <v>43649</v>
      </c>
      <c r="B1281">
        <v>168.416273531169</v>
      </c>
    </row>
    <row r="1282" spans="1:2" x14ac:dyDescent="0.25">
      <c r="A1282" s="9">
        <v>43650</v>
      </c>
      <c r="B1282">
        <v>168.53503044575001</v>
      </c>
    </row>
    <row r="1283" spans="1:2" x14ac:dyDescent="0.25">
      <c r="A1283" s="9">
        <v>43651</v>
      </c>
      <c r="B1283">
        <v>168.662530775524</v>
      </c>
    </row>
    <row r="1284" spans="1:2" x14ac:dyDescent="0.25">
      <c r="A1284" s="9">
        <v>43652</v>
      </c>
      <c r="B1284">
        <v>168.779096025027</v>
      </c>
    </row>
    <row r="1285" spans="1:2" x14ac:dyDescent="0.25">
      <c r="A1285" s="9">
        <v>43653</v>
      </c>
      <c r="B1285">
        <v>168.90052727914701</v>
      </c>
    </row>
    <row r="1286" spans="1:2" x14ac:dyDescent="0.25">
      <c r="A1286" s="9">
        <v>43654</v>
      </c>
      <c r="B1286">
        <v>169.01763396810901</v>
      </c>
    </row>
    <row r="1287" spans="1:2" x14ac:dyDescent="0.25">
      <c r="A1287" s="9">
        <v>43655</v>
      </c>
      <c r="B1287">
        <v>169.127974278865</v>
      </c>
    </row>
    <row r="1288" spans="1:2" x14ac:dyDescent="0.25">
      <c r="A1288" s="9">
        <v>43656</v>
      </c>
      <c r="B1288">
        <v>169.24090283931901</v>
      </c>
    </row>
    <row r="1289" spans="1:2" x14ac:dyDescent="0.25">
      <c r="A1289" s="9">
        <v>43657</v>
      </c>
      <c r="B1289">
        <v>169.35697637256001</v>
      </c>
    </row>
    <row r="1290" spans="1:2" x14ac:dyDescent="0.25">
      <c r="A1290" s="9">
        <v>43658</v>
      </c>
      <c r="B1290">
        <v>169.47653281863799</v>
      </c>
    </row>
    <row r="1291" spans="1:2" x14ac:dyDescent="0.25">
      <c r="A1291" s="9">
        <v>43659</v>
      </c>
      <c r="B1291">
        <v>169.59182923929299</v>
      </c>
    </row>
    <row r="1292" spans="1:2" x14ac:dyDescent="0.25">
      <c r="A1292" s="9">
        <v>43660</v>
      </c>
      <c r="B1292">
        <v>169.70219809414499</v>
      </c>
    </row>
    <row r="1293" spans="1:2" x14ac:dyDescent="0.25">
      <c r="A1293" s="9">
        <v>43661</v>
      </c>
      <c r="B1293">
        <v>169.81752756609399</v>
      </c>
    </row>
    <row r="1294" spans="1:2" x14ac:dyDescent="0.25">
      <c r="A1294" s="9">
        <v>43662</v>
      </c>
      <c r="B1294">
        <v>169.925785147955</v>
      </c>
    </row>
    <row r="1295" spans="1:2" x14ac:dyDescent="0.25">
      <c r="A1295" s="9">
        <v>43663</v>
      </c>
      <c r="B1295">
        <v>170.05285225564401</v>
      </c>
    </row>
    <row r="1296" spans="1:2" x14ac:dyDescent="0.25">
      <c r="A1296" s="9">
        <v>43664</v>
      </c>
      <c r="B1296">
        <v>170.16291381046699</v>
      </c>
    </row>
    <row r="1297" spans="1:2" x14ac:dyDescent="0.25">
      <c r="A1297" s="9">
        <v>43665</v>
      </c>
      <c r="B1297">
        <v>170.27723201402901</v>
      </c>
    </row>
    <row r="1298" spans="1:2" x14ac:dyDescent="0.25">
      <c r="A1298" s="9">
        <v>43666</v>
      </c>
      <c r="B1298">
        <v>170.40352739110401</v>
      </c>
    </row>
    <row r="1299" spans="1:2" x14ac:dyDescent="0.25">
      <c r="A1299" s="9">
        <v>43667</v>
      </c>
      <c r="B1299">
        <v>170.518302236511</v>
      </c>
    </row>
    <row r="1300" spans="1:2" x14ac:dyDescent="0.25">
      <c r="A1300" s="9">
        <v>43668</v>
      </c>
      <c r="B1300">
        <v>170.64163673204999</v>
      </c>
    </row>
    <row r="1301" spans="1:2" x14ac:dyDescent="0.25">
      <c r="A1301" s="9">
        <v>43669</v>
      </c>
      <c r="B1301">
        <v>170.74896185294801</v>
      </c>
    </row>
    <row r="1302" spans="1:2" x14ac:dyDescent="0.25">
      <c r="A1302" s="9">
        <v>43670</v>
      </c>
      <c r="B1302">
        <v>170.860647233017</v>
      </c>
    </row>
    <row r="1303" spans="1:2" x14ac:dyDescent="0.25">
      <c r="A1303" s="9">
        <v>43671</v>
      </c>
      <c r="B1303">
        <v>170.97662518232499</v>
      </c>
    </row>
    <row r="1304" spans="1:2" x14ac:dyDescent="0.25">
      <c r="A1304" s="9">
        <v>43672</v>
      </c>
      <c r="B1304">
        <v>171.094381366189</v>
      </c>
    </row>
    <row r="1305" spans="1:2" x14ac:dyDescent="0.25">
      <c r="A1305" s="9">
        <v>43673</v>
      </c>
      <c r="B1305">
        <v>171.20447456544301</v>
      </c>
    </row>
    <row r="1306" spans="1:2" x14ac:dyDescent="0.25">
      <c r="A1306" s="9">
        <v>43674</v>
      </c>
      <c r="B1306">
        <v>171.32583089895999</v>
      </c>
    </row>
    <row r="1307" spans="1:2" x14ac:dyDescent="0.25">
      <c r="A1307" s="9">
        <v>43675</v>
      </c>
      <c r="B1307">
        <v>171.43682812826799</v>
      </c>
    </row>
    <row r="1308" spans="1:2" x14ac:dyDescent="0.25">
      <c r="A1308" s="9">
        <v>43676</v>
      </c>
      <c r="B1308">
        <v>171.54678790151101</v>
      </c>
    </row>
    <row r="1309" spans="1:2" x14ac:dyDescent="0.25">
      <c r="A1309" s="9">
        <v>43677</v>
      </c>
      <c r="B1309">
        <v>171.67086840926899</v>
      </c>
    </row>
    <row r="1310" spans="1:2" x14ac:dyDescent="0.25">
      <c r="A1310" s="9">
        <v>43678</v>
      </c>
      <c r="B1310">
        <v>171.779798998979</v>
      </c>
    </row>
    <row r="1311" spans="1:2" x14ac:dyDescent="0.25">
      <c r="A1311" s="9">
        <v>43679</v>
      </c>
      <c r="B1311">
        <v>171.894832189666</v>
      </c>
    </row>
    <row r="1312" spans="1:2" x14ac:dyDescent="0.25">
      <c r="A1312" s="9">
        <v>43680</v>
      </c>
      <c r="B1312">
        <v>172.01826424558999</v>
      </c>
    </row>
    <row r="1313" spans="1:2" x14ac:dyDescent="0.25">
      <c r="A1313" s="9">
        <v>43681</v>
      </c>
      <c r="B1313">
        <v>172.13342528126</v>
      </c>
    </row>
    <row r="1314" spans="1:2" x14ac:dyDescent="0.25">
      <c r="A1314" s="9">
        <v>43682</v>
      </c>
      <c r="B1314">
        <v>172.244403524891</v>
      </c>
    </row>
    <row r="1315" spans="1:2" x14ac:dyDescent="0.25">
      <c r="A1315" s="9">
        <v>43683</v>
      </c>
      <c r="B1315">
        <v>172.368241462328</v>
      </c>
    </row>
    <row r="1316" spans="1:2" x14ac:dyDescent="0.25">
      <c r="A1316" s="9">
        <v>43684</v>
      </c>
      <c r="B1316">
        <v>172.484761140719</v>
      </c>
    </row>
    <row r="1317" spans="1:2" x14ac:dyDescent="0.25">
      <c r="A1317" s="9">
        <v>43685</v>
      </c>
      <c r="B1317">
        <v>172.61311067877901</v>
      </c>
    </row>
    <row r="1318" spans="1:2" x14ac:dyDescent="0.25">
      <c r="A1318" s="9">
        <v>43686</v>
      </c>
      <c r="B1318">
        <v>172.73222817588899</v>
      </c>
    </row>
    <row r="1319" spans="1:2" x14ac:dyDescent="0.25">
      <c r="A1319" s="9">
        <v>43687</v>
      </c>
      <c r="B1319">
        <v>172.855925994606</v>
      </c>
    </row>
    <row r="1320" spans="1:2" x14ac:dyDescent="0.25">
      <c r="A1320" s="9">
        <v>43688</v>
      </c>
      <c r="B1320">
        <v>172.96047919092399</v>
      </c>
    </row>
    <row r="1321" spans="1:2" x14ac:dyDescent="0.25">
      <c r="A1321" s="9">
        <v>43689</v>
      </c>
      <c r="B1321">
        <v>173.087295922995</v>
      </c>
    </row>
    <row r="1322" spans="1:2" x14ac:dyDescent="0.25">
      <c r="A1322" s="9">
        <v>43690</v>
      </c>
      <c r="B1322">
        <v>173.21438554273499</v>
      </c>
    </row>
    <row r="1323" spans="1:2" x14ac:dyDescent="0.25">
      <c r="A1323" s="9">
        <v>43691</v>
      </c>
      <c r="B1323">
        <v>173.33383222540701</v>
      </c>
    </row>
    <row r="1324" spans="1:2" x14ac:dyDescent="0.25">
      <c r="A1324" s="9">
        <v>43692</v>
      </c>
      <c r="B1324">
        <v>173.45453147654499</v>
      </c>
    </row>
    <row r="1325" spans="1:2" x14ac:dyDescent="0.25">
      <c r="A1325" s="9">
        <v>43693</v>
      </c>
      <c r="B1325">
        <v>173.588240261077</v>
      </c>
    </row>
    <row r="1326" spans="1:2" x14ac:dyDescent="0.25">
      <c r="A1326" s="9">
        <v>43694</v>
      </c>
      <c r="B1326">
        <v>173.70542498464201</v>
      </c>
    </row>
    <row r="1327" spans="1:2" x14ac:dyDescent="0.25">
      <c r="A1327" s="9">
        <v>43695</v>
      </c>
      <c r="B1327">
        <v>173.818497138292</v>
      </c>
    </row>
    <row r="1328" spans="1:2" x14ac:dyDescent="0.25">
      <c r="A1328" s="9">
        <v>43696</v>
      </c>
      <c r="B1328">
        <v>173.94406550394999</v>
      </c>
    </row>
    <row r="1329" spans="1:2" x14ac:dyDescent="0.25">
      <c r="A1329" s="9">
        <v>43697</v>
      </c>
      <c r="B1329">
        <v>174.05951813096701</v>
      </c>
    </row>
    <row r="1330" spans="1:2" x14ac:dyDescent="0.25">
      <c r="A1330" s="9">
        <v>43698</v>
      </c>
      <c r="B1330">
        <v>174.176080043805</v>
      </c>
    </row>
    <row r="1331" spans="1:2" x14ac:dyDescent="0.25">
      <c r="A1331" s="9">
        <v>43699</v>
      </c>
      <c r="B1331">
        <v>174.301493328654</v>
      </c>
    </row>
    <row r="1332" spans="1:2" x14ac:dyDescent="0.25">
      <c r="A1332" s="9">
        <v>43700</v>
      </c>
      <c r="B1332">
        <v>174.41881223329699</v>
      </c>
    </row>
    <row r="1333" spans="1:2" x14ac:dyDescent="0.25">
      <c r="A1333" s="9">
        <v>43701</v>
      </c>
      <c r="B1333">
        <v>174.53799956696901</v>
      </c>
    </row>
    <row r="1334" spans="1:2" x14ac:dyDescent="0.25">
      <c r="A1334" s="9">
        <v>43702</v>
      </c>
      <c r="B1334">
        <v>174.65820917229399</v>
      </c>
    </row>
    <row r="1335" spans="1:2" x14ac:dyDescent="0.25">
      <c r="A1335" s="9">
        <v>43703</v>
      </c>
      <c r="B1335">
        <v>174.77630549727999</v>
      </c>
    </row>
    <row r="1336" spans="1:2" x14ac:dyDescent="0.25">
      <c r="A1336" s="9">
        <v>43704</v>
      </c>
      <c r="B1336">
        <v>174.888886923847</v>
      </c>
    </row>
    <row r="1337" spans="1:2" x14ac:dyDescent="0.25">
      <c r="A1337" s="9">
        <v>43705</v>
      </c>
      <c r="B1337">
        <v>175.012697471373</v>
      </c>
    </row>
    <row r="1338" spans="1:2" x14ac:dyDescent="0.25">
      <c r="A1338" s="9">
        <v>43706</v>
      </c>
      <c r="B1338">
        <v>175.130674593245</v>
      </c>
    </row>
    <row r="1339" spans="1:2" x14ac:dyDescent="0.25">
      <c r="A1339" s="9">
        <v>43707</v>
      </c>
      <c r="B1339">
        <v>175.24484870456101</v>
      </c>
    </row>
    <row r="1340" spans="1:2" x14ac:dyDescent="0.25">
      <c r="A1340" s="9">
        <v>43708</v>
      </c>
      <c r="B1340">
        <v>175.37097716412401</v>
      </c>
    </row>
    <row r="1341" spans="1:2" x14ac:dyDescent="0.25">
      <c r="A1341" s="9">
        <v>43709</v>
      </c>
      <c r="B1341">
        <v>175.492537180548</v>
      </c>
    </row>
    <row r="1342" spans="1:2" x14ac:dyDescent="0.25">
      <c r="A1342" s="9">
        <v>43710</v>
      </c>
      <c r="B1342">
        <v>175.59674758614099</v>
      </c>
    </row>
    <row r="1343" spans="1:2" x14ac:dyDescent="0.25">
      <c r="A1343" s="9">
        <v>43711</v>
      </c>
      <c r="B1343">
        <v>175.71949088349101</v>
      </c>
    </row>
    <row r="1344" spans="1:2" x14ac:dyDescent="0.25">
      <c r="A1344" s="9">
        <v>43712</v>
      </c>
      <c r="B1344">
        <v>175.82966768412899</v>
      </c>
    </row>
    <row r="1345" spans="1:2" x14ac:dyDescent="0.25">
      <c r="A1345" s="9">
        <v>43713</v>
      </c>
      <c r="B1345">
        <v>175.960124918437</v>
      </c>
    </row>
    <row r="1346" spans="1:2" x14ac:dyDescent="0.25">
      <c r="A1346" s="9">
        <v>43714</v>
      </c>
      <c r="B1346">
        <v>176.07654072224699</v>
      </c>
    </row>
    <row r="1347" spans="1:2" x14ac:dyDescent="0.25">
      <c r="A1347" s="9">
        <v>43715</v>
      </c>
      <c r="B1347">
        <v>176.19584051596701</v>
      </c>
    </row>
    <row r="1348" spans="1:2" x14ac:dyDescent="0.25">
      <c r="A1348" s="9">
        <v>43716</v>
      </c>
      <c r="B1348">
        <v>176.314159444696</v>
      </c>
    </row>
    <row r="1349" spans="1:2" x14ac:dyDescent="0.25">
      <c r="A1349" s="9">
        <v>43717</v>
      </c>
      <c r="B1349">
        <v>176.437202498337</v>
      </c>
    </row>
    <row r="1350" spans="1:2" x14ac:dyDescent="0.25">
      <c r="A1350" s="9">
        <v>43718</v>
      </c>
      <c r="B1350">
        <v>176.54697941819501</v>
      </c>
    </row>
    <row r="1351" spans="1:2" x14ac:dyDescent="0.25">
      <c r="A1351" s="9">
        <v>43719</v>
      </c>
      <c r="B1351">
        <v>176.66984557253301</v>
      </c>
    </row>
    <row r="1352" spans="1:2" x14ac:dyDescent="0.25">
      <c r="A1352" s="9">
        <v>43720</v>
      </c>
      <c r="B1352">
        <v>176.79706617741701</v>
      </c>
    </row>
    <row r="1353" spans="1:2" x14ac:dyDescent="0.25">
      <c r="A1353" s="9">
        <v>43721</v>
      </c>
      <c r="B1353">
        <v>176.92450439000001</v>
      </c>
    </row>
    <row r="1354" spans="1:2" x14ac:dyDescent="0.25">
      <c r="A1354" s="9">
        <v>43722</v>
      </c>
      <c r="B1354">
        <v>177.048759423192</v>
      </c>
    </row>
    <row r="1355" spans="1:2" x14ac:dyDescent="0.25">
      <c r="A1355" s="9">
        <v>43723</v>
      </c>
      <c r="B1355">
        <v>177.174704743756</v>
      </c>
    </row>
    <row r="1356" spans="1:2" x14ac:dyDescent="0.25">
      <c r="A1356" s="9">
        <v>43724</v>
      </c>
      <c r="B1356">
        <v>177.30529539009001</v>
      </c>
    </row>
    <row r="1357" spans="1:2" x14ac:dyDescent="0.25">
      <c r="A1357" s="9">
        <v>43725</v>
      </c>
      <c r="B1357">
        <v>177.432345606214</v>
      </c>
    </row>
    <row r="1358" spans="1:2" x14ac:dyDescent="0.25">
      <c r="A1358" s="9">
        <v>43726</v>
      </c>
      <c r="B1358">
        <v>177.557129835382</v>
      </c>
    </row>
    <row r="1359" spans="1:2" x14ac:dyDescent="0.25">
      <c r="A1359" s="9">
        <v>43727</v>
      </c>
      <c r="B1359">
        <v>177.676888683969</v>
      </c>
    </row>
    <row r="1360" spans="1:2" x14ac:dyDescent="0.25">
      <c r="A1360" s="9">
        <v>43728</v>
      </c>
      <c r="B1360">
        <v>177.79926871650801</v>
      </c>
    </row>
    <row r="1361" spans="1:2" x14ac:dyDescent="0.25">
      <c r="A1361" s="9">
        <v>43729</v>
      </c>
      <c r="B1361">
        <v>177.904219880281</v>
      </c>
    </row>
    <row r="1362" spans="1:2" x14ac:dyDescent="0.25">
      <c r="A1362" s="9">
        <v>43730</v>
      </c>
      <c r="B1362">
        <v>178.02313730585601</v>
      </c>
    </row>
    <row r="1363" spans="1:2" x14ac:dyDescent="0.25">
      <c r="A1363" s="9">
        <v>43731</v>
      </c>
      <c r="B1363">
        <v>178.13558553991999</v>
      </c>
    </row>
    <row r="1364" spans="1:2" x14ac:dyDescent="0.25">
      <c r="A1364" s="9">
        <v>43732</v>
      </c>
      <c r="B1364">
        <v>178.269536020131</v>
      </c>
    </row>
    <row r="1365" spans="1:2" x14ac:dyDescent="0.25">
      <c r="A1365" s="9">
        <v>43733</v>
      </c>
      <c r="B1365">
        <v>178.38419684303099</v>
      </c>
    </row>
    <row r="1366" spans="1:2" x14ac:dyDescent="0.25">
      <c r="A1366" s="9">
        <v>43734</v>
      </c>
      <c r="B1366">
        <v>178.50929509325999</v>
      </c>
    </row>
    <row r="1367" spans="1:2" x14ac:dyDescent="0.25">
      <c r="A1367" s="9">
        <v>43735</v>
      </c>
      <c r="B1367">
        <v>178.62407834112</v>
      </c>
    </row>
    <row r="1368" spans="1:2" x14ac:dyDescent="0.25">
      <c r="A1368" s="9">
        <v>43736</v>
      </c>
      <c r="B1368">
        <v>178.74716659822801</v>
      </c>
    </row>
    <row r="1369" spans="1:2" x14ac:dyDescent="0.25">
      <c r="A1369" s="9">
        <v>43737</v>
      </c>
      <c r="B1369">
        <v>178.88035518160001</v>
      </c>
    </row>
    <row r="1370" spans="1:2" x14ac:dyDescent="0.25">
      <c r="A1370" s="9">
        <v>43738</v>
      </c>
      <c r="B1370">
        <v>178.99484029674801</v>
      </c>
    </row>
    <row r="1371" spans="1:2" x14ac:dyDescent="0.25">
      <c r="A1371" s="9">
        <v>43739</v>
      </c>
      <c r="B1371">
        <v>179.10893857075601</v>
      </c>
    </row>
    <row r="1372" spans="1:2" x14ac:dyDescent="0.25">
      <c r="A1372" s="9">
        <v>43740</v>
      </c>
      <c r="B1372">
        <v>179.23510800319801</v>
      </c>
    </row>
    <row r="1373" spans="1:2" x14ac:dyDescent="0.25">
      <c r="A1373" s="9">
        <v>43741</v>
      </c>
      <c r="B1373">
        <v>179.366629540883</v>
      </c>
    </row>
    <row r="1374" spans="1:2" x14ac:dyDescent="0.25">
      <c r="A1374" s="9">
        <v>43742</v>
      </c>
      <c r="B1374">
        <v>179.48221617619001</v>
      </c>
    </row>
    <row r="1375" spans="1:2" x14ac:dyDescent="0.25">
      <c r="A1375" s="9">
        <v>43743</v>
      </c>
      <c r="B1375">
        <v>179.60304601226099</v>
      </c>
    </row>
    <row r="1376" spans="1:2" x14ac:dyDescent="0.25">
      <c r="A1376" s="9">
        <v>43744</v>
      </c>
      <c r="B1376">
        <v>179.718854092762</v>
      </c>
    </row>
    <row r="1377" spans="1:2" x14ac:dyDescent="0.25">
      <c r="A1377" s="9">
        <v>43745</v>
      </c>
      <c r="B1377">
        <v>179.84128403283901</v>
      </c>
    </row>
    <row r="1378" spans="1:2" x14ac:dyDescent="0.25">
      <c r="A1378" s="9">
        <v>43746</v>
      </c>
      <c r="B1378">
        <v>179.963879709396</v>
      </c>
    </row>
    <row r="1379" spans="1:2" x14ac:dyDescent="0.25">
      <c r="A1379" s="9">
        <v>43747</v>
      </c>
      <c r="B1379">
        <v>180.09057710061299</v>
      </c>
    </row>
    <row r="1380" spans="1:2" x14ac:dyDescent="0.25">
      <c r="A1380" s="9">
        <v>43748</v>
      </c>
      <c r="B1380">
        <v>180.21283882130001</v>
      </c>
    </row>
    <row r="1381" spans="1:2" x14ac:dyDescent="0.25">
      <c r="A1381" s="9">
        <v>43749</v>
      </c>
      <c r="B1381">
        <v>180.33771156074801</v>
      </c>
    </row>
    <row r="1382" spans="1:2" x14ac:dyDescent="0.25">
      <c r="A1382" s="9">
        <v>43750</v>
      </c>
      <c r="B1382">
        <v>180.45878046646399</v>
      </c>
    </row>
    <row r="1383" spans="1:2" x14ac:dyDescent="0.25">
      <c r="A1383" s="9">
        <v>43751</v>
      </c>
      <c r="B1383">
        <v>180.58254649496101</v>
      </c>
    </row>
    <row r="1384" spans="1:2" x14ac:dyDescent="0.25">
      <c r="A1384" s="9">
        <v>43752</v>
      </c>
      <c r="B1384">
        <v>180.69940953161</v>
      </c>
    </row>
    <row r="1385" spans="1:2" x14ac:dyDescent="0.25">
      <c r="A1385" s="9">
        <v>43753</v>
      </c>
      <c r="B1385">
        <v>180.83447270408499</v>
      </c>
    </row>
    <row r="1386" spans="1:2" x14ac:dyDescent="0.25">
      <c r="A1386" s="9">
        <v>43754</v>
      </c>
      <c r="B1386">
        <v>180.94674955279399</v>
      </c>
    </row>
    <row r="1387" spans="1:2" x14ac:dyDescent="0.25">
      <c r="A1387" s="9">
        <v>43755</v>
      </c>
      <c r="B1387">
        <v>181.067516309734</v>
      </c>
    </row>
    <row r="1388" spans="1:2" x14ac:dyDescent="0.25">
      <c r="A1388" s="9">
        <v>43756</v>
      </c>
      <c r="B1388">
        <v>181.19063950421301</v>
      </c>
    </row>
    <row r="1389" spans="1:2" x14ac:dyDescent="0.25">
      <c r="A1389" s="9">
        <v>43757</v>
      </c>
      <c r="B1389">
        <v>181.31272407126201</v>
      </c>
    </row>
    <row r="1390" spans="1:2" x14ac:dyDescent="0.25">
      <c r="A1390" s="9">
        <v>43758</v>
      </c>
      <c r="B1390">
        <v>181.43728969582699</v>
      </c>
    </row>
    <row r="1391" spans="1:2" x14ac:dyDescent="0.25">
      <c r="A1391" s="9">
        <v>43759</v>
      </c>
      <c r="B1391">
        <v>181.57156699804199</v>
      </c>
    </row>
    <row r="1392" spans="1:2" x14ac:dyDescent="0.25">
      <c r="A1392" s="9">
        <v>43760</v>
      </c>
      <c r="B1392">
        <v>181.69994449167601</v>
      </c>
    </row>
    <row r="1393" spans="1:2" x14ac:dyDescent="0.25">
      <c r="A1393" s="9">
        <v>43761</v>
      </c>
      <c r="B1393">
        <v>181.81699380247301</v>
      </c>
    </row>
    <row r="1394" spans="1:2" x14ac:dyDescent="0.25">
      <c r="A1394" s="9">
        <v>43762</v>
      </c>
      <c r="B1394">
        <v>181.950500861759</v>
      </c>
    </row>
    <row r="1395" spans="1:2" x14ac:dyDescent="0.25">
      <c r="A1395" s="9">
        <v>43763</v>
      </c>
      <c r="B1395">
        <v>182.06219471380899</v>
      </c>
    </row>
    <row r="1396" spans="1:2" x14ac:dyDescent="0.25">
      <c r="A1396" s="9">
        <v>43764</v>
      </c>
      <c r="B1396">
        <v>182.20013981138899</v>
      </c>
    </row>
    <row r="1397" spans="1:2" x14ac:dyDescent="0.25">
      <c r="A1397" s="9">
        <v>43765</v>
      </c>
      <c r="B1397">
        <v>182.32903643013</v>
      </c>
    </row>
    <row r="1398" spans="1:2" x14ac:dyDescent="0.25">
      <c r="A1398" s="9">
        <v>43766</v>
      </c>
      <c r="B1398">
        <v>182.463510315382</v>
      </c>
    </row>
    <row r="1399" spans="1:2" x14ac:dyDescent="0.25">
      <c r="A1399" s="9">
        <v>43767</v>
      </c>
      <c r="B1399">
        <v>182.58041705013099</v>
      </c>
    </row>
    <row r="1400" spans="1:2" x14ac:dyDescent="0.25">
      <c r="A1400" s="9">
        <v>43768</v>
      </c>
      <c r="B1400">
        <v>182.70491387185399</v>
      </c>
    </row>
    <row r="1401" spans="1:2" x14ac:dyDescent="0.25">
      <c r="A1401" s="9">
        <v>43769</v>
      </c>
      <c r="B1401">
        <v>182.83155048779599</v>
      </c>
    </row>
    <row r="1402" spans="1:2" x14ac:dyDescent="0.25">
      <c r="A1402" s="9">
        <v>43770</v>
      </c>
      <c r="B1402">
        <v>182.94581549565399</v>
      </c>
    </row>
    <row r="1403" spans="1:2" x14ac:dyDescent="0.25">
      <c r="A1403" s="9">
        <v>43771</v>
      </c>
      <c r="B1403">
        <v>183.06615295293599</v>
      </c>
    </row>
    <row r="1404" spans="1:2" x14ac:dyDescent="0.25">
      <c r="A1404" s="9">
        <v>43772</v>
      </c>
      <c r="B1404">
        <v>183.191575116059</v>
      </c>
    </row>
    <row r="1405" spans="1:2" x14ac:dyDescent="0.25">
      <c r="A1405" s="9">
        <v>43773</v>
      </c>
      <c r="B1405">
        <v>183.31604795343699</v>
      </c>
    </row>
    <row r="1406" spans="1:2" x14ac:dyDescent="0.25">
      <c r="A1406" s="9">
        <v>43774</v>
      </c>
      <c r="B1406">
        <v>183.44333199469301</v>
      </c>
    </row>
    <row r="1407" spans="1:2" x14ac:dyDescent="0.25">
      <c r="A1407" s="9">
        <v>43775</v>
      </c>
      <c r="B1407">
        <v>183.574424598316</v>
      </c>
    </row>
    <row r="1408" spans="1:2" x14ac:dyDescent="0.25">
      <c r="A1408" s="9">
        <v>43776</v>
      </c>
      <c r="B1408">
        <v>183.708070988016</v>
      </c>
    </row>
    <row r="1409" spans="1:2" x14ac:dyDescent="0.25">
      <c r="A1409" s="9">
        <v>43777</v>
      </c>
      <c r="B1409">
        <v>183.82175181716201</v>
      </c>
    </row>
    <row r="1410" spans="1:2" x14ac:dyDescent="0.25">
      <c r="A1410" s="9">
        <v>43778</v>
      </c>
      <c r="B1410">
        <v>183.95983277469099</v>
      </c>
    </row>
    <row r="1411" spans="1:2" x14ac:dyDescent="0.25">
      <c r="A1411" s="9">
        <v>43779</v>
      </c>
      <c r="B1411">
        <v>184.08509993815699</v>
      </c>
    </row>
    <row r="1412" spans="1:2" x14ac:dyDescent="0.25">
      <c r="A1412" s="9">
        <v>43780</v>
      </c>
      <c r="B1412">
        <v>184.22275665803099</v>
      </c>
    </row>
    <row r="1413" spans="1:2" x14ac:dyDescent="0.25">
      <c r="A1413" s="9">
        <v>43781</v>
      </c>
      <c r="B1413">
        <v>184.344520964563</v>
      </c>
    </row>
    <row r="1414" spans="1:2" x14ac:dyDescent="0.25">
      <c r="A1414" s="9">
        <v>43782</v>
      </c>
      <c r="B1414">
        <v>184.471017806775</v>
      </c>
    </row>
    <row r="1415" spans="1:2" x14ac:dyDescent="0.25">
      <c r="A1415" s="9">
        <v>43783</v>
      </c>
      <c r="B1415">
        <v>184.590527382055</v>
      </c>
    </row>
    <row r="1416" spans="1:2" x14ac:dyDescent="0.25">
      <c r="A1416" s="9">
        <v>43784</v>
      </c>
      <c r="B1416">
        <v>184.70964263326599</v>
      </c>
    </row>
    <row r="1417" spans="1:2" x14ac:dyDescent="0.25">
      <c r="A1417" s="9">
        <v>43785</v>
      </c>
      <c r="B1417">
        <v>184.83919716231199</v>
      </c>
    </row>
    <row r="1418" spans="1:2" x14ac:dyDescent="0.25">
      <c r="A1418" s="9">
        <v>43786</v>
      </c>
      <c r="B1418">
        <v>184.96242097760401</v>
      </c>
    </row>
    <row r="1419" spans="1:2" x14ac:dyDescent="0.25">
      <c r="A1419" s="9">
        <v>43787</v>
      </c>
      <c r="B1419">
        <v>185.08292526843999</v>
      </c>
    </row>
    <row r="1420" spans="1:2" x14ac:dyDescent="0.25">
      <c r="A1420" s="9">
        <v>43788</v>
      </c>
      <c r="B1420">
        <v>185.21011940302799</v>
      </c>
    </row>
    <row r="1421" spans="1:2" x14ac:dyDescent="0.25">
      <c r="A1421" s="9">
        <v>43789</v>
      </c>
      <c r="B1421">
        <v>185.34008042113501</v>
      </c>
    </row>
    <row r="1422" spans="1:2" x14ac:dyDescent="0.25">
      <c r="A1422" s="9">
        <v>43790</v>
      </c>
      <c r="B1422">
        <v>185.47573316929899</v>
      </c>
    </row>
    <row r="1423" spans="1:2" x14ac:dyDescent="0.25">
      <c r="A1423" s="9">
        <v>43791</v>
      </c>
      <c r="B1423">
        <v>185.60985464062901</v>
      </c>
    </row>
    <row r="1424" spans="1:2" x14ac:dyDescent="0.25">
      <c r="A1424" s="9">
        <v>43792</v>
      </c>
      <c r="B1424">
        <v>185.734740490929</v>
      </c>
    </row>
    <row r="1425" spans="1:2" x14ac:dyDescent="0.25">
      <c r="A1425" s="9">
        <v>43793</v>
      </c>
      <c r="B1425">
        <v>185.85855897730801</v>
      </c>
    </row>
    <row r="1426" spans="1:2" x14ac:dyDescent="0.25">
      <c r="A1426" s="9">
        <v>43794</v>
      </c>
      <c r="B1426">
        <v>185.97132436350299</v>
      </c>
    </row>
    <row r="1427" spans="1:2" x14ac:dyDescent="0.25">
      <c r="A1427" s="9">
        <v>43795</v>
      </c>
      <c r="B1427">
        <v>186.096730816416</v>
      </c>
    </row>
    <row r="1428" spans="1:2" x14ac:dyDescent="0.25">
      <c r="A1428" s="9">
        <v>43796</v>
      </c>
      <c r="B1428">
        <v>186.22221054475099</v>
      </c>
    </row>
    <row r="1429" spans="1:2" x14ac:dyDescent="0.25">
      <c r="A1429" s="9">
        <v>43797</v>
      </c>
      <c r="B1429">
        <v>186.35257513383601</v>
      </c>
    </row>
    <row r="1430" spans="1:2" x14ac:dyDescent="0.25">
      <c r="A1430" s="9">
        <v>43798</v>
      </c>
      <c r="B1430">
        <v>186.48233264580199</v>
      </c>
    </row>
    <row r="1431" spans="1:2" x14ac:dyDescent="0.25">
      <c r="A1431" s="9">
        <v>43799</v>
      </c>
      <c r="B1431">
        <v>186.60544683668601</v>
      </c>
    </row>
    <row r="1432" spans="1:2" x14ac:dyDescent="0.25">
      <c r="A1432" s="9">
        <v>43800</v>
      </c>
      <c r="B1432">
        <v>186.74652213084599</v>
      </c>
    </row>
    <row r="1433" spans="1:2" x14ac:dyDescent="0.25">
      <c r="A1433" s="9">
        <v>43801</v>
      </c>
      <c r="B1433">
        <v>186.87737248284299</v>
      </c>
    </row>
    <row r="1434" spans="1:2" x14ac:dyDescent="0.25">
      <c r="A1434" s="9">
        <v>43802</v>
      </c>
      <c r="B1434">
        <v>187.029554420153</v>
      </c>
    </row>
    <row r="1435" spans="1:2" x14ac:dyDescent="0.25">
      <c r="A1435" s="9">
        <v>43803</v>
      </c>
      <c r="B1435">
        <v>187.16054476033801</v>
      </c>
    </row>
    <row r="1436" spans="1:2" x14ac:dyDescent="0.25">
      <c r="A1436" s="9">
        <v>43804</v>
      </c>
      <c r="B1436">
        <v>187.28218449475901</v>
      </c>
    </row>
    <row r="1437" spans="1:2" x14ac:dyDescent="0.25">
      <c r="A1437" s="9">
        <v>43805</v>
      </c>
      <c r="B1437">
        <v>187.418244646895</v>
      </c>
    </row>
    <row r="1438" spans="1:2" x14ac:dyDescent="0.25">
      <c r="A1438" s="9">
        <v>43806</v>
      </c>
      <c r="B1438">
        <v>187.548999615458</v>
      </c>
    </row>
    <row r="1439" spans="1:2" x14ac:dyDescent="0.25">
      <c r="A1439" s="9">
        <v>43807</v>
      </c>
      <c r="B1439">
        <v>187.67255785157499</v>
      </c>
    </row>
    <row r="1440" spans="1:2" x14ac:dyDescent="0.25">
      <c r="A1440" s="9">
        <v>43808</v>
      </c>
      <c r="B1440">
        <v>187.80764239634399</v>
      </c>
    </row>
    <row r="1441" spans="1:2" x14ac:dyDescent="0.25">
      <c r="A1441" s="9">
        <v>43809</v>
      </c>
      <c r="B1441">
        <v>187.935879902159</v>
      </c>
    </row>
    <row r="1442" spans="1:2" x14ac:dyDescent="0.25">
      <c r="A1442" s="9">
        <v>43810</v>
      </c>
      <c r="B1442">
        <v>188.06525118037399</v>
      </c>
    </row>
    <row r="1443" spans="1:2" x14ac:dyDescent="0.25">
      <c r="A1443" s="9">
        <v>43811</v>
      </c>
      <c r="B1443">
        <v>188.19740139770801</v>
      </c>
    </row>
    <row r="1444" spans="1:2" x14ac:dyDescent="0.25">
      <c r="A1444" s="9">
        <v>43812</v>
      </c>
      <c r="B1444">
        <v>188.32530370779099</v>
      </c>
    </row>
    <row r="1445" spans="1:2" x14ac:dyDescent="0.25">
      <c r="A1445" s="9">
        <v>43813</v>
      </c>
      <c r="B1445">
        <v>188.44987901327201</v>
      </c>
    </row>
    <row r="1446" spans="1:2" x14ac:dyDescent="0.25">
      <c r="A1446" s="9">
        <v>43814</v>
      </c>
      <c r="B1446">
        <v>188.57604928011301</v>
      </c>
    </row>
    <row r="1447" spans="1:2" x14ac:dyDescent="0.25">
      <c r="A1447" s="9">
        <v>43815</v>
      </c>
      <c r="B1447">
        <v>188.70578271270401</v>
      </c>
    </row>
    <row r="1448" spans="1:2" x14ac:dyDescent="0.25">
      <c r="A1448" s="9">
        <v>43816</v>
      </c>
      <c r="B1448">
        <v>188.838729703138</v>
      </c>
    </row>
    <row r="1449" spans="1:2" x14ac:dyDescent="0.25">
      <c r="A1449" s="9">
        <v>43817</v>
      </c>
      <c r="B1449">
        <v>188.96081263344101</v>
      </c>
    </row>
    <row r="1450" spans="1:2" x14ac:dyDescent="0.25">
      <c r="A1450" s="9">
        <v>43818</v>
      </c>
      <c r="B1450">
        <v>189.09381304234299</v>
      </c>
    </row>
    <row r="1451" spans="1:2" x14ac:dyDescent="0.25">
      <c r="A1451" s="9">
        <v>43819</v>
      </c>
      <c r="B1451">
        <v>189.225767400178</v>
      </c>
    </row>
    <row r="1452" spans="1:2" x14ac:dyDescent="0.25">
      <c r="A1452" s="9">
        <v>43820</v>
      </c>
      <c r="B1452">
        <v>189.367499655893</v>
      </c>
    </row>
    <row r="1453" spans="1:2" x14ac:dyDescent="0.25">
      <c r="A1453" s="9">
        <v>43821</v>
      </c>
      <c r="B1453">
        <v>189.49840811592301</v>
      </c>
    </row>
    <row r="1454" spans="1:2" x14ac:dyDescent="0.25">
      <c r="A1454" s="9">
        <v>43822</v>
      </c>
      <c r="B1454">
        <v>189.628596731475</v>
      </c>
    </row>
    <row r="1455" spans="1:2" x14ac:dyDescent="0.25">
      <c r="A1455" s="9">
        <v>43823</v>
      </c>
      <c r="B1455">
        <v>189.756325683451</v>
      </c>
    </row>
    <row r="1456" spans="1:2" x14ac:dyDescent="0.25">
      <c r="A1456" s="9">
        <v>43824</v>
      </c>
      <c r="B1456">
        <v>189.88333276562901</v>
      </c>
    </row>
    <row r="1457" spans="1:2" x14ac:dyDescent="0.25">
      <c r="A1457" s="9">
        <v>43825</v>
      </c>
      <c r="B1457">
        <v>190.005702314671</v>
      </c>
    </row>
    <row r="1458" spans="1:2" x14ac:dyDescent="0.25">
      <c r="A1458" s="9">
        <v>43826</v>
      </c>
      <c r="B1458">
        <v>190.14625652142999</v>
      </c>
    </row>
    <row r="1459" spans="1:2" x14ac:dyDescent="0.25">
      <c r="A1459" s="9">
        <v>43827</v>
      </c>
      <c r="B1459">
        <v>190.270066348927</v>
      </c>
    </row>
    <row r="1460" spans="1:2" x14ac:dyDescent="0.25">
      <c r="A1460" s="9">
        <v>43828</v>
      </c>
      <c r="B1460">
        <v>190.40887182497599</v>
      </c>
    </row>
    <row r="1461" spans="1:2" x14ac:dyDescent="0.25">
      <c r="A1461" s="9">
        <v>43829</v>
      </c>
      <c r="B1461">
        <v>190.535239970069</v>
      </c>
    </row>
    <row r="1462" spans="1:2" x14ac:dyDescent="0.25">
      <c r="A1462" s="9">
        <v>43830</v>
      </c>
      <c r="B1462">
        <v>190.66546231796301</v>
      </c>
    </row>
    <row r="1463" spans="1:2" x14ac:dyDescent="0.25">
      <c r="A1463" s="9">
        <v>43831</v>
      </c>
      <c r="B1463">
        <v>190.80547626242401</v>
      </c>
    </row>
    <row r="1464" spans="1:2" x14ac:dyDescent="0.25">
      <c r="A1464" s="9">
        <v>43832</v>
      </c>
      <c r="B1464">
        <v>190.924171987048</v>
      </c>
    </row>
    <row r="1465" spans="1:2" x14ac:dyDescent="0.25">
      <c r="A1465" s="9">
        <v>43833</v>
      </c>
      <c r="B1465">
        <v>191.046007360365</v>
      </c>
    </row>
    <row r="1466" spans="1:2" x14ac:dyDescent="0.25">
      <c r="A1466" s="9">
        <v>43834</v>
      </c>
      <c r="B1466">
        <v>191.165796345628</v>
      </c>
    </row>
    <row r="1467" spans="1:2" x14ac:dyDescent="0.25">
      <c r="A1467" s="9">
        <v>43835</v>
      </c>
      <c r="B1467">
        <v>191.29512445601401</v>
      </c>
    </row>
    <row r="1468" spans="1:2" x14ac:dyDescent="0.25">
      <c r="A1468" s="9">
        <v>43836</v>
      </c>
      <c r="B1468">
        <v>191.418126796671</v>
      </c>
    </row>
    <row r="1469" spans="1:2" x14ac:dyDescent="0.25">
      <c r="A1469" s="9">
        <v>43837</v>
      </c>
      <c r="B1469">
        <v>191.542429744126</v>
      </c>
    </row>
    <row r="1470" spans="1:2" x14ac:dyDescent="0.25">
      <c r="A1470" s="9">
        <v>43838</v>
      </c>
      <c r="B1470">
        <v>191.67851984573301</v>
      </c>
    </row>
    <row r="1471" spans="1:2" x14ac:dyDescent="0.25">
      <c r="A1471" s="9">
        <v>43839</v>
      </c>
      <c r="B1471">
        <v>191.817198521394</v>
      </c>
    </row>
    <row r="1472" spans="1:2" x14ac:dyDescent="0.25">
      <c r="A1472" s="9">
        <v>43840</v>
      </c>
      <c r="B1472">
        <v>191.94575688218401</v>
      </c>
    </row>
    <row r="1473" spans="1:2" x14ac:dyDescent="0.25">
      <c r="A1473" s="9">
        <v>43841</v>
      </c>
      <c r="B1473">
        <v>192.0768609145</v>
      </c>
    </row>
    <row r="1474" spans="1:2" x14ac:dyDescent="0.25">
      <c r="A1474" s="9">
        <v>43842</v>
      </c>
      <c r="B1474">
        <v>192.20353547007699</v>
      </c>
    </row>
    <row r="1475" spans="1:2" x14ac:dyDescent="0.25">
      <c r="A1475" s="9">
        <v>43843</v>
      </c>
      <c r="B1475">
        <v>192.346416266316</v>
      </c>
    </row>
    <row r="1476" spans="1:2" x14ac:dyDescent="0.25">
      <c r="A1476" s="9">
        <v>43844</v>
      </c>
      <c r="B1476">
        <v>192.49124225992401</v>
      </c>
    </row>
    <row r="1477" spans="1:2" x14ac:dyDescent="0.25">
      <c r="A1477" s="9">
        <v>43845</v>
      </c>
      <c r="B1477">
        <v>192.627547863698</v>
      </c>
    </row>
    <row r="1478" spans="1:2" x14ac:dyDescent="0.25">
      <c r="A1478" s="9">
        <v>43846</v>
      </c>
      <c r="B1478">
        <v>192.749937275593</v>
      </c>
    </row>
    <row r="1479" spans="1:2" x14ac:dyDescent="0.25">
      <c r="A1479" s="9">
        <v>43847</v>
      </c>
      <c r="B1479">
        <v>192.89439609138199</v>
      </c>
    </row>
    <row r="1480" spans="1:2" x14ac:dyDescent="0.25">
      <c r="A1480" s="9">
        <v>43848</v>
      </c>
      <c r="B1480">
        <v>193.02263407958301</v>
      </c>
    </row>
    <row r="1481" spans="1:2" x14ac:dyDescent="0.25">
      <c r="A1481" s="9">
        <v>43849</v>
      </c>
      <c r="B1481">
        <v>193.14452386629401</v>
      </c>
    </row>
    <row r="1482" spans="1:2" x14ac:dyDescent="0.25">
      <c r="A1482" s="9">
        <v>43850</v>
      </c>
      <c r="B1482">
        <v>193.274251237377</v>
      </c>
    </row>
    <row r="1483" spans="1:2" x14ac:dyDescent="0.25">
      <c r="A1483" s="9">
        <v>43851</v>
      </c>
      <c r="B1483">
        <v>193.39446134067899</v>
      </c>
    </row>
    <row r="1484" spans="1:2" x14ac:dyDescent="0.25">
      <c r="A1484" s="9">
        <v>43852</v>
      </c>
      <c r="B1484">
        <v>193.53798610849401</v>
      </c>
    </row>
    <row r="1485" spans="1:2" x14ac:dyDescent="0.25">
      <c r="A1485" s="9">
        <v>43853</v>
      </c>
      <c r="B1485">
        <v>193.686115194721</v>
      </c>
    </row>
    <row r="1486" spans="1:2" x14ac:dyDescent="0.25">
      <c r="A1486" s="9">
        <v>43854</v>
      </c>
      <c r="B1486">
        <v>193.816236826888</v>
      </c>
    </row>
    <row r="1487" spans="1:2" x14ac:dyDescent="0.25">
      <c r="A1487" s="9">
        <v>43855</v>
      </c>
      <c r="B1487">
        <v>193.94460897207699</v>
      </c>
    </row>
    <row r="1488" spans="1:2" x14ac:dyDescent="0.25">
      <c r="A1488" s="9">
        <v>43856</v>
      </c>
      <c r="B1488">
        <v>194.08823522230401</v>
      </c>
    </row>
    <row r="1489" spans="1:2" x14ac:dyDescent="0.25">
      <c r="A1489" s="9">
        <v>43857</v>
      </c>
      <c r="B1489">
        <v>194.222292527364</v>
      </c>
    </row>
    <row r="1490" spans="1:2" x14ac:dyDescent="0.25">
      <c r="A1490" s="9">
        <v>43858</v>
      </c>
      <c r="B1490">
        <v>194.366666242365</v>
      </c>
    </row>
    <row r="1491" spans="1:2" x14ac:dyDescent="0.25">
      <c r="A1491" s="9">
        <v>43859</v>
      </c>
      <c r="B1491">
        <v>194.49367625678099</v>
      </c>
    </row>
    <row r="1492" spans="1:2" x14ac:dyDescent="0.25">
      <c r="A1492" s="9">
        <v>43860</v>
      </c>
      <c r="B1492">
        <v>194.61187250896799</v>
      </c>
    </row>
    <row r="1493" spans="1:2" x14ac:dyDescent="0.25">
      <c r="A1493" s="9">
        <v>43861</v>
      </c>
      <c r="B1493">
        <v>194.74866841161901</v>
      </c>
    </row>
    <row r="1494" spans="1:2" x14ac:dyDescent="0.25">
      <c r="A1494" s="9">
        <v>43862</v>
      </c>
      <c r="B1494">
        <v>194.88566738725299</v>
      </c>
    </row>
    <row r="1495" spans="1:2" x14ac:dyDescent="0.25">
      <c r="A1495" s="9">
        <v>43863</v>
      </c>
      <c r="B1495">
        <v>195.01663543454299</v>
      </c>
    </row>
    <row r="1496" spans="1:2" x14ac:dyDescent="0.25">
      <c r="A1496" s="9">
        <v>43864</v>
      </c>
      <c r="B1496">
        <v>195.15256887930201</v>
      </c>
    </row>
    <row r="1497" spans="1:2" x14ac:dyDescent="0.25">
      <c r="A1497" s="9">
        <v>43865</v>
      </c>
      <c r="B1497">
        <v>195.28621151758</v>
      </c>
    </row>
    <row r="1498" spans="1:2" x14ac:dyDescent="0.25">
      <c r="A1498" s="9">
        <v>43866</v>
      </c>
      <c r="B1498">
        <v>195.416678515435</v>
      </c>
    </row>
    <row r="1499" spans="1:2" x14ac:dyDescent="0.25">
      <c r="A1499" s="9">
        <v>43867</v>
      </c>
      <c r="B1499">
        <v>195.55103660419499</v>
      </c>
    </row>
    <row r="1500" spans="1:2" x14ac:dyDescent="0.25">
      <c r="A1500" s="9">
        <v>43868</v>
      </c>
      <c r="B1500">
        <v>195.672486113952</v>
      </c>
    </row>
    <row r="1501" spans="1:2" x14ac:dyDescent="0.25">
      <c r="A1501" s="9">
        <v>43869</v>
      </c>
      <c r="B1501">
        <v>195.803376722172</v>
      </c>
    </row>
    <row r="1502" spans="1:2" x14ac:dyDescent="0.25">
      <c r="A1502" s="9">
        <v>43870</v>
      </c>
      <c r="B1502">
        <v>195.948891924967</v>
      </c>
    </row>
    <row r="1503" spans="1:2" x14ac:dyDescent="0.25">
      <c r="A1503" s="9">
        <v>43871</v>
      </c>
      <c r="B1503">
        <v>196.085700743236</v>
      </c>
    </row>
    <row r="1504" spans="1:2" x14ac:dyDescent="0.25">
      <c r="A1504" s="9">
        <v>43872</v>
      </c>
      <c r="B1504">
        <v>196.22308411271499</v>
      </c>
    </row>
    <row r="1505" spans="1:2" x14ac:dyDescent="0.25">
      <c r="A1505" s="9">
        <v>43873</v>
      </c>
      <c r="B1505">
        <v>196.35827591785201</v>
      </c>
    </row>
    <row r="1506" spans="1:2" x14ac:dyDescent="0.25">
      <c r="A1506" s="9">
        <v>43874</v>
      </c>
      <c r="B1506">
        <v>196.49774908406999</v>
      </c>
    </row>
    <row r="1507" spans="1:2" x14ac:dyDescent="0.25">
      <c r="A1507" s="9">
        <v>43875</v>
      </c>
      <c r="B1507">
        <v>196.63712359352701</v>
      </c>
    </row>
    <row r="1508" spans="1:2" x14ac:dyDescent="0.25">
      <c r="A1508" s="9">
        <v>43876</v>
      </c>
      <c r="B1508">
        <v>196.77565415679501</v>
      </c>
    </row>
    <row r="1509" spans="1:2" x14ac:dyDescent="0.25">
      <c r="A1509" s="9">
        <v>43877</v>
      </c>
      <c r="B1509">
        <v>196.91302095559499</v>
      </c>
    </row>
    <row r="1510" spans="1:2" x14ac:dyDescent="0.25">
      <c r="A1510" s="9">
        <v>43878</v>
      </c>
      <c r="B1510">
        <v>197.04551933132299</v>
      </c>
    </row>
    <row r="1511" spans="1:2" x14ac:dyDescent="0.25">
      <c r="A1511" s="9">
        <v>43879</v>
      </c>
      <c r="B1511">
        <v>197.17437804784601</v>
      </c>
    </row>
    <row r="1512" spans="1:2" x14ac:dyDescent="0.25">
      <c r="A1512" s="9">
        <v>43880</v>
      </c>
      <c r="B1512">
        <v>197.29770654904999</v>
      </c>
    </row>
    <row r="1513" spans="1:2" x14ac:dyDescent="0.25">
      <c r="A1513" s="9">
        <v>43881</v>
      </c>
      <c r="B1513">
        <v>197.43425218875799</v>
      </c>
    </row>
    <row r="1514" spans="1:2" x14ac:dyDescent="0.25">
      <c r="A1514" s="9">
        <v>43882</v>
      </c>
      <c r="B1514">
        <v>197.59059731129699</v>
      </c>
    </row>
    <row r="1515" spans="1:2" x14ac:dyDescent="0.25">
      <c r="A1515" s="9">
        <v>43883</v>
      </c>
      <c r="B1515">
        <v>197.73457414650801</v>
      </c>
    </row>
    <row r="1516" spans="1:2" x14ac:dyDescent="0.25">
      <c r="A1516" s="9">
        <v>43884</v>
      </c>
      <c r="B1516">
        <v>197.86562714327201</v>
      </c>
    </row>
    <row r="1517" spans="1:2" x14ac:dyDescent="0.25">
      <c r="A1517" s="9">
        <v>43885</v>
      </c>
      <c r="B1517">
        <v>198.00556430017701</v>
      </c>
    </row>
    <row r="1518" spans="1:2" x14ac:dyDescent="0.25">
      <c r="A1518" s="9">
        <v>43886</v>
      </c>
      <c r="B1518">
        <v>198.155791638762</v>
      </c>
    </row>
    <row r="1519" spans="1:2" x14ac:dyDescent="0.25">
      <c r="A1519" s="9">
        <v>43887</v>
      </c>
      <c r="B1519">
        <v>198.28251356119199</v>
      </c>
    </row>
    <row r="1520" spans="1:2" x14ac:dyDescent="0.25">
      <c r="A1520" s="9">
        <v>43888</v>
      </c>
      <c r="B1520">
        <v>198.424908542808</v>
      </c>
    </row>
    <row r="1521" spans="1:2" x14ac:dyDescent="0.25">
      <c r="A1521" s="9">
        <v>43889</v>
      </c>
      <c r="B1521">
        <v>198.570561461165</v>
      </c>
    </row>
    <row r="1522" spans="1:2" x14ac:dyDescent="0.25">
      <c r="A1522" s="9">
        <v>43890</v>
      </c>
      <c r="B1522">
        <v>198.70698617533299</v>
      </c>
    </row>
    <row r="1523" spans="1:2" x14ac:dyDescent="0.25">
      <c r="A1523" s="9">
        <v>43891</v>
      </c>
      <c r="B1523">
        <v>198.83625297233201</v>
      </c>
    </row>
    <row r="1524" spans="1:2" x14ac:dyDescent="0.25">
      <c r="A1524" s="9">
        <v>43892</v>
      </c>
      <c r="B1524">
        <v>198.98234434098899</v>
      </c>
    </row>
    <row r="1525" spans="1:2" x14ac:dyDescent="0.25">
      <c r="A1525" s="9">
        <v>43893</v>
      </c>
      <c r="B1525">
        <v>199.10287011257901</v>
      </c>
    </row>
    <row r="1526" spans="1:2" x14ac:dyDescent="0.25">
      <c r="A1526" s="9">
        <v>43894</v>
      </c>
      <c r="B1526">
        <v>199.23345369222901</v>
      </c>
    </row>
    <row r="1527" spans="1:2" x14ac:dyDescent="0.25">
      <c r="A1527" s="9">
        <v>43895</v>
      </c>
      <c r="B1527">
        <v>199.38540334880699</v>
      </c>
    </row>
    <row r="1528" spans="1:2" x14ac:dyDescent="0.25">
      <c r="A1528" s="9">
        <v>43896</v>
      </c>
      <c r="B1528">
        <v>199.519238545912</v>
      </c>
    </row>
    <row r="1529" spans="1:2" x14ac:dyDescent="0.25">
      <c r="A1529" s="9">
        <v>43897</v>
      </c>
      <c r="B1529">
        <v>199.64944305347299</v>
      </c>
    </row>
    <row r="1530" spans="1:2" x14ac:dyDescent="0.25">
      <c r="A1530" s="9">
        <v>43898</v>
      </c>
      <c r="B1530">
        <v>199.770319408745</v>
      </c>
    </row>
    <row r="1531" spans="1:2" x14ac:dyDescent="0.25">
      <c r="A1531" s="9">
        <v>43899</v>
      </c>
      <c r="B1531">
        <v>199.91201706136201</v>
      </c>
    </row>
    <row r="1532" spans="1:2" x14ac:dyDescent="0.25">
      <c r="A1532" s="9">
        <v>43900</v>
      </c>
      <c r="B1532">
        <v>200.06148772183499</v>
      </c>
    </row>
    <row r="1533" spans="1:2" x14ac:dyDescent="0.25">
      <c r="A1533" s="9">
        <v>43901</v>
      </c>
      <c r="B1533">
        <v>200.199912370558</v>
      </c>
    </row>
    <row r="1534" spans="1:2" x14ac:dyDescent="0.25">
      <c r="A1534" s="9">
        <v>43902</v>
      </c>
      <c r="B1534">
        <v>200.35079946377499</v>
      </c>
    </row>
    <row r="1535" spans="1:2" x14ac:dyDescent="0.25">
      <c r="A1535" s="9">
        <v>43903</v>
      </c>
      <c r="B1535">
        <v>200.48743966478301</v>
      </c>
    </row>
    <row r="1536" spans="1:2" x14ac:dyDescent="0.25">
      <c r="A1536" s="9">
        <v>43904</v>
      </c>
      <c r="B1536">
        <v>200.62521933096201</v>
      </c>
    </row>
    <row r="1537" spans="1:2" x14ac:dyDescent="0.25">
      <c r="A1537" s="9">
        <v>43905</v>
      </c>
      <c r="B1537">
        <v>200.75218936588999</v>
      </c>
    </row>
    <row r="1538" spans="1:2" x14ac:dyDescent="0.25">
      <c r="A1538" s="9">
        <v>43906</v>
      </c>
      <c r="B1538">
        <v>200.89051215358899</v>
      </c>
    </row>
    <row r="1539" spans="1:2" x14ac:dyDescent="0.25">
      <c r="A1539" s="9">
        <v>43907</v>
      </c>
      <c r="B1539">
        <v>201.03195259069699</v>
      </c>
    </row>
    <row r="1540" spans="1:2" x14ac:dyDescent="0.25">
      <c r="A1540" s="9">
        <v>43908</v>
      </c>
      <c r="B1540">
        <v>201.162048830792</v>
      </c>
    </row>
    <row r="1541" spans="1:2" x14ac:dyDescent="0.25">
      <c r="A1541" s="9">
        <v>43909</v>
      </c>
      <c r="B1541">
        <v>201.27394887165701</v>
      </c>
    </row>
    <row r="1542" spans="1:2" x14ac:dyDescent="0.25">
      <c r="A1542" s="9">
        <v>43910</v>
      </c>
      <c r="B1542">
        <v>201.398094823918</v>
      </c>
    </row>
    <row r="1543" spans="1:2" x14ac:dyDescent="0.25">
      <c r="A1543" s="9">
        <v>43911</v>
      </c>
      <c r="B1543">
        <v>201.53304292479501</v>
      </c>
    </row>
    <row r="1544" spans="1:2" x14ac:dyDescent="0.25">
      <c r="A1544" s="9">
        <v>43912</v>
      </c>
      <c r="B1544">
        <v>201.66037790233199</v>
      </c>
    </row>
    <row r="1545" spans="1:2" x14ac:dyDescent="0.25">
      <c r="A1545" s="9">
        <v>43913</v>
      </c>
      <c r="B1545">
        <v>201.78188876874799</v>
      </c>
    </row>
    <row r="1546" spans="1:2" x14ac:dyDescent="0.25">
      <c r="A1546" s="9">
        <v>43914</v>
      </c>
      <c r="B1546">
        <v>201.90252251848301</v>
      </c>
    </row>
    <row r="1547" spans="1:2" x14ac:dyDescent="0.25">
      <c r="A1547" s="9">
        <v>43915</v>
      </c>
      <c r="B1547">
        <v>202.028977735052</v>
      </c>
    </row>
    <row r="1548" spans="1:2" x14ac:dyDescent="0.25">
      <c r="A1548" s="9">
        <v>43916</v>
      </c>
      <c r="B1548">
        <v>202.17781241554701</v>
      </c>
    </row>
    <row r="1549" spans="1:2" x14ac:dyDescent="0.25">
      <c r="A1549" s="9">
        <v>43917</v>
      </c>
      <c r="B1549">
        <v>202.30437876396601</v>
      </c>
    </row>
    <row r="1550" spans="1:2" x14ac:dyDescent="0.25">
      <c r="A1550" s="9">
        <v>43918</v>
      </c>
      <c r="B1550">
        <v>202.43290317263401</v>
      </c>
    </row>
    <row r="1551" spans="1:2" x14ac:dyDescent="0.25">
      <c r="A1551" s="9">
        <v>43919</v>
      </c>
      <c r="B1551">
        <v>202.56684631338601</v>
      </c>
    </row>
    <row r="1552" spans="1:2" x14ac:dyDescent="0.25">
      <c r="A1552" s="9">
        <v>43920</v>
      </c>
      <c r="B1552">
        <v>202.70499691794899</v>
      </c>
    </row>
    <row r="1553" spans="1:2" x14ac:dyDescent="0.25">
      <c r="A1553" s="9">
        <v>43921</v>
      </c>
      <c r="B1553">
        <v>202.831444329986</v>
      </c>
    </row>
    <row r="1554" spans="1:2" x14ac:dyDescent="0.25">
      <c r="A1554" s="9">
        <v>43922</v>
      </c>
      <c r="B1554">
        <v>202.96328528957901</v>
      </c>
    </row>
    <row r="1555" spans="1:2" x14ac:dyDescent="0.25">
      <c r="A1555" s="9">
        <v>43923</v>
      </c>
      <c r="B1555">
        <v>203.110388456793</v>
      </c>
    </row>
    <row r="1556" spans="1:2" x14ac:dyDescent="0.25">
      <c r="A1556" s="9">
        <v>43924</v>
      </c>
      <c r="B1556">
        <v>203.247444265008</v>
      </c>
    </row>
    <row r="1557" spans="1:2" x14ac:dyDescent="0.25">
      <c r="A1557" s="9">
        <v>43925</v>
      </c>
      <c r="B1557">
        <v>203.395138478467</v>
      </c>
    </row>
    <row r="1558" spans="1:2" x14ac:dyDescent="0.25">
      <c r="A1558" s="9">
        <v>43926</v>
      </c>
      <c r="B1558">
        <v>203.53156256282901</v>
      </c>
    </row>
    <row r="1559" spans="1:2" x14ac:dyDescent="0.25">
      <c r="A1559" s="9">
        <v>43927</v>
      </c>
      <c r="B1559">
        <v>203.670752426787</v>
      </c>
    </row>
    <row r="1560" spans="1:2" x14ac:dyDescent="0.25">
      <c r="A1560" s="9">
        <v>43928</v>
      </c>
      <c r="B1560">
        <v>203.81410902737801</v>
      </c>
    </row>
    <row r="1561" spans="1:2" x14ac:dyDescent="0.25">
      <c r="A1561" s="9">
        <v>43929</v>
      </c>
      <c r="B1561">
        <v>203.94960491152</v>
      </c>
    </row>
    <row r="1562" spans="1:2" x14ac:dyDescent="0.25">
      <c r="A1562" s="9">
        <v>43930</v>
      </c>
      <c r="B1562">
        <v>204.09472317380801</v>
      </c>
    </row>
    <row r="1563" spans="1:2" x14ac:dyDescent="0.25">
      <c r="A1563" s="9">
        <v>43931</v>
      </c>
      <c r="B1563">
        <v>204.23602685419601</v>
      </c>
    </row>
    <row r="1564" spans="1:2" x14ac:dyDescent="0.25">
      <c r="A1564" s="9">
        <v>43932</v>
      </c>
      <c r="B1564">
        <v>204.376987783853</v>
      </c>
    </row>
    <row r="1565" spans="1:2" x14ac:dyDescent="0.25">
      <c r="A1565" s="9">
        <v>43933</v>
      </c>
      <c r="B1565">
        <v>204.51048633899401</v>
      </c>
    </row>
    <row r="1566" spans="1:2" x14ac:dyDescent="0.25">
      <c r="A1566" s="9">
        <v>43934</v>
      </c>
      <c r="B1566">
        <v>204.63436346411299</v>
      </c>
    </row>
    <row r="1567" spans="1:2" x14ac:dyDescent="0.25">
      <c r="A1567" s="9">
        <v>43935</v>
      </c>
      <c r="B1567">
        <v>204.76650698464601</v>
      </c>
    </row>
    <row r="1568" spans="1:2" x14ac:dyDescent="0.25">
      <c r="A1568" s="9">
        <v>43936</v>
      </c>
      <c r="B1568">
        <v>204.90067894082</v>
      </c>
    </row>
    <row r="1569" spans="1:2" x14ac:dyDescent="0.25">
      <c r="A1569" s="9">
        <v>43937</v>
      </c>
      <c r="B1569">
        <v>205.03645961884499</v>
      </c>
    </row>
    <row r="1570" spans="1:2" x14ac:dyDescent="0.25">
      <c r="A1570" s="9">
        <v>43938</v>
      </c>
      <c r="B1570">
        <v>205.16173493866199</v>
      </c>
    </row>
    <row r="1571" spans="1:2" x14ac:dyDescent="0.25">
      <c r="A1571" s="9">
        <v>43939</v>
      </c>
      <c r="B1571">
        <v>205.30270946231099</v>
      </c>
    </row>
    <row r="1572" spans="1:2" x14ac:dyDescent="0.25">
      <c r="A1572" s="9">
        <v>43940</v>
      </c>
      <c r="B1572">
        <v>205.44451104168701</v>
      </c>
    </row>
    <row r="1573" spans="1:2" x14ac:dyDescent="0.25">
      <c r="A1573" s="9">
        <v>43941</v>
      </c>
      <c r="B1573">
        <v>205.601356360474</v>
      </c>
    </row>
    <row r="1574" spans="1:2" x14ac:dyDescent="0.25">
      <c r="A1574" s="9">
        <v>43942</v>
      </c>
      <c r="B1574">
        <v>205.73930385578899</v>
      </c>
    </row>
    <row r="1575" spans="1:2" x14ac:dyDescent="0.25">
      <c r="A1575" s="9">
        <v>43943</v>
      </c>
      <c r="B1575">
        <v>205.871889018514</v>
      </c>
    </row>
    <row r="1576" spans="1:2" x14ac:dyDescent="0.25">
      <c r="A1576" s="9">
        <v>43944</v>
      </c>
      <c r="B1576">
        <v>206.01323763681799</v>
      </c>
    </row>
    <row r="1577" spans="1:2" x14ac:dyDescent="0.25">
      <c r="A1577" s="9">
        <v>43945</v>
      </c>
      <c r="B1577">
        <v>206.154512408697</v>
      </c>
    </row>
    <row r="1578" spans="1:2" x14ac:dyDescent="0.25">
      <c r="A1578" s="9">
        <v>43946</v>
      </c>
      <c r="B1578">
        <v>206.27499290720499</v>
      </c>
    </row>
    <row r="1579" spans="1:2" x14ac:dyDescent="0.25">
      <c r="A1579" s="9">
        <v>43947</v>
      </c>
      <c r="B1579">
        <v>206.415872126171</v>
      </c>
    </row>
    <row r="1580" spans="1:2" x14ac:dyDescent="0.25">
      <c r="A1580" s="9">
        <v>43948</v>
      </c>
      <c r="B1580">
        <v>206.557583949339</v>
      </c>
    </row>
    <row r="1581" spans="1:2" x14ac:dyDescent="0.25">
      <c r="A1581" s="9">
        <v>43949</v>
      </c>
      <c r="B1581">
        <v>206.69366211873901</v>
      </c>
    </row>
    <row r="1582" spans="1:2" x14ac:dyDescent="0.25">
      <c r="A1582" s="9">
        <v>43950</v>
      </c>
      <c r="B1582">
        <v>206.85030507771299</v>
      </c>
    </row>
    <row r="1583" spans="1:2" x14ac:dyDescent="0.25">
      <c r="A1583" s="9">
        <v>43951</v>
      </c>
      <c r="B1583">
        <v>206.991549740598</v>
      </c>
    </row>
    <row r="1584" spans="1:2" x14ac:dyDescent="0.25">
      <c r="A1584" s="9">
        <v>43952</v>
      </c>
      <c r="B1584">
        <v>207.137509120103</v>
      </c>
    </row>
    <row r="1585" spans="1:2" x14ac:dyDescent="0.25">
      <c r="A1585" s="9">
        <v>43953</v>
      </c>
      <c r="B1585">
        <v>207.27172094365599</v>
      </c>
    </row>
    <row r="1586" spans="1:2" x14ac:dyDescent="0.25">
      <c r="A1586" s="9">
        <v>43954</v>
      </c>
      <c r="B1586">
        <v>207.414390624052</v>
      </c>
    </row>
    <row r="1587" spans="1:2" x14ac:dyDescent="0.25">
      <c r="A1587" s="9">
        <v>43955</v>
      </c>
      <c r="B1587">
        <v>207.55114763284101</v>
      </c>
    </row>
    <row r="1588" spans="1:2" x14ac:dyDescent="0.25">
      <c r="A1588" s="9">
        <v>43956</v>
      </c>
      <c r="B1588">
        <v>207.69512097999899</v>
      </c>
    </row>
    <row r="1589" spans="1:2" x14ac:dyDescent="0.25">
      <c r="A1589" s="9">
        <v>43957</v>
      </c>
      <c r="B1589">
        <v>207.834556830699</v>
      </c>
    </row>
    <row r="1590" spans="1:2" x14ac:dyDescent="0.25">
      <c r="A1590" s="9">
        <v>43958</v>
      </c>
      <c r="B1590">
        <v>207.96680773061701</v>
      </c>
    </row>
    <row r="1591" spans="1:2" x14ac:dyDescent="0.25">
      <c r="A1591" s="9">
        <v>43959</v>
      </c>
      <c r="B1591">
        <v>208.098698185346</v>
      </c>
    </row>
    <row r="1592" spans="1:2" x14ac:dyDescent="0.25">
      <c r="A1592" s="9">
        <v>43960</v>
      </c>
      <c r="B1592">
        <v>208.243256984374</v>
      </c>
    </row>
    <row r="1593" spans="1:2" x14ac:dyDescent="0.25">
      <c r="A1593" s="9">
        <v>43961</v>
      </c>
      <c r="B1593">
        <v>208.38965990179</v>
      </c>
    </row>
    <row r="1594" spans="1:2" x14ac:dyDescent="0.25">
      <c r="A1594" s="9">
        <v>43962</v>
      </c>
      <c r="B1594">
        <v>208.54556893163999</v>
      </c>
    </row>
    <row r="1595" spans="1:2" x14ac:dyDescent="0.25">
      <c r="A1595" s="9">
        <v>43963</v>
      </c>
      <c r="B1595">
        <v>208.676266219702</v>
      </c>
    </row>
    <row r="1596" spans="1:2" x14ac:dyDescent="0.25">
      <c r="A1596" s="9">
        <v>43964</v>
      </c>
      <c r="B1596">
        <v>208.81008438347601</v>
      </c>
    </row>
    <row r="1597" spans="1:2" x14ac:dyDescent="0.25">
      <c r="A1597" s="9">
        <v>43965</v>
      </c>
      <c r="B1597">
        <v>208.95173812854799</v>
      </c>
    </row>
    <row r="1598" spans="1:2" x14ac:dyDescent="0.25">
      <c r="A1598" s="9">
        <v>43966</v>
      </c>
      <c r="B1598">
        <v>209.08952323300699</v>
      </c>
    </row>
    <row r="1599" spans="1:2" x14ac:dyDescent="0.25">
      <c r="A1599" s="9">
        <v>43967</v>
      </c>
      <c r="B1599">
        <v>209.22285286457301</v>
      </c>
    </row>
    <row r="1600" spans="1:2" x14ac:dyDescent="0.25">
      <c r="A1600" s="9">
        <v>43968</v>
      </c>
      <c r="B1600">
        <v>209.371739280339</v>
      </c>
    </row>
    <row r="1601" spans="1:2" x14ac:dyDescent="0.25">
      <c r="A1601" s="9">
        <v>43969</v>
      </c>
      <c r="B1601">
        <v>209.515921345539</v>
      </c>
    </row>
    <row r="1602" spans="1:2" x14ac:dyDescent="0.25">
      <c r="A1602" s="9">
        <v>43970</v>
      </c>
      <c r="B1602">
        <v>209.66060205858801</v>
      </c>
    </row>
    <row r="1603" spans="1:2" x14ac:dyDescent="0.25">
      <c r="A1603" s="9">
        <v>43971</v>
      </c>
      <c r="B1603">
        <v>209.80846399142499</v>
      </c>
    </row>
    <row r="1604" spans="1:2" x14ac:dyDescent="0.25">
      <c r="A1604" s="9">
        <v>43972</v>
      </c>
      <c r="B1604">
        <v>209.94474074489901</v>
      </c>
    </row>
    <row r="1605" spans="1:2" x14ac:dyDescent="0.25">
      <c r="A1605" s="9">
        <v>43973</v>
      </c>
      <c r="B1605">
        <v>210.09282750470399</v>
      </c>
    </row>
    <row r="1606" spans="1:2" x14ac:dyDescent="0.25">
      <c r="A1606" s="9">
        <v>43974</v>
      </c>
      <c r="B1606">
        <v>210.24046042807501</v>
      </c>
    </row>
    <row r="1607" spans="1:2" x14ac:dyDescent="0.25">
      <c r="A1607" s="9">
        <v>43975</v>
      </c>
      <c r="B1607">
        <v>210.39906416534399</v>
      </c>
    </row>
    <row r="1608" spans="1:2" x14ac:dyDescent="0.25">
      <c r="A1608" s="9">
        <v>43976</v>
      </c>
      <c r="B1608">
        <v>210.540662948902</v>
      </c>
    </row>
    <row r="1609" spans="1:2" x14ac:dyDescent="0.25">
      <c r="A1609" s="9">
        <v>43977</v>
      </c>
      <c r="B1609">
        <v>210.693441048095</v>
      </c>
    </row>
    <row r="1610" spans="1:2" x14ac:dyDescent="0.25">
      <c r="A1610" s="9">
        <v>43978</v>
      </c>
      <c r="B1610">
        <v>210.83625369559601</v>
      </c>
    </row>
    <row r="1611" spans="1:2" x14ac:dyDescent="0.25">
      <c r="A1611" s="9">
        <v>43979</v>
      </c>
      <c r="B1611">
        <v>210.99147579250601</v>
      </c>
    </row>
    <row r="1612" spans="1:2" x14ac:dyDescent="0.25">
      <c r="A1612" s="9">
        <v>43980</v>
      </c>
      <c r="B1612">
        <v>211.13572465982699</v>
      </c>
    </row>
    <row r="1613" spans="1:2" x14ac:dyDescent="0.25">
      <c r="A1613" s="9">
        <v>43981</v>
      </c>
      <c r="B1613">
        <v>211.27528706526499</v>
      </c>
    </row>
    <row r="1614" spans="1:2" x14ac:dyDescent="0.25">
      <c r="A1614" s="9">
        <v>43982</v>
      </c>
      <c r="B1614">
        <v>211.42149742079599</v>
      </c>
    </row>
    <row r="1615" spans="1:2" x14ac:dyDescent="0.25">
      <c r="A1615" s="9">
        <v>43983</v>
      </c>
      <c r="B1615">
        <v>211.55719196837501</v>
      </c>
    </row>
    <row r="1616" spans="1:2" x14ac:dyDescent="0.25">
      <c r="A1616" s="9">
        <v>43984</v>
      </c>
      <c r="B1616">
        <v>211.688321510169</v>
      </c>
    </row>
    <row r="1617" spans="1:2" x14ac:dyDescent="0.25">
      <c r="A1617" s="9">
        <v>43985</v>
      </c>
      <c r="B1617">
        <v>211.83721271339201</v>
      </c>
    </row>
    <row r="1618" spans="1:2" x14ac:dyDescent="0.25">
      <c r="A1618" s="9">
        <v>43986</v>
      </c>
      <c r="B1618">
        <v>211.99403008440299</v>
      </c>
    </row>
    <row r="1619" spans="1:2" x14ac:dyDescent="0.25">
      <c r="A1619" s="9">
        <v>43987</v>
      </c>
      <c r="B1619">
        <v>212.12889870364799</v>
      </c>
    </row>
    <row r="1620" spans="1:2" x14ac:dyDescent="0.25">
      <c r="A1620" s="9">
        <v>43988</v>
      </c>
      <c r="B1620">
        <v>212.27021469486999</v>
      </c>
    </row>
    <row r="1621" spans="1:2" x14ac:dyDescent="0.25">
      <c r="A1621" s="9">
        <v>43989</v>
      </c>
      <c r="B1621">
        <v>212.40961224549901</v>
      </c>
    </row>
    <row r="1622" spans="1:2" x14ac:dyDescent="0.25">
      <c r="A1622" s="9">
        <v>43990</v>
      </c>
      <c r="B1622">
        <v>212.55224704622401</v>
      </c>
    </row>
    <row r="1623" spans="1:2" x14ac:dyDescent="0.25">
      <c r="A1623" s="9">
        <v>43991</v>
      </c>
      <c r="B1623">
        <v>212.70470627111001</v>
      </c>
    </row>
    <row r="1624" spans="1:2" x14ac:dyDescent="0.25">
      <c r="A1624" s="9">
        <v>43992</v>
      </c>
      <c r="B1624">
        <v>212.851501252204</v>
      </c>
    </row>
    <row r="1625" spans="1:2" x14ac:dyDescent="0.25">
      <c r="A1625" s="9">
        <v>43993</v>
      </c>
      <c r="B1625">
        <v>213.00552355158601</v>
      </c>
    </row>
    <row r="1626" spans="1:2" x14ac:dyDescent="0.25">
      <c r="A1626" s="9">
        <v>43994</v>
      </c>
      <c r="B1626">
        <v>213.16525816414099</v>
      </c>
    </row>
    <row r="1627" spans="1:2" x14ac:dyDescent="0.25">
      <c r="A1627" s="9">
        <v>43995</v>
      </c>
      <c r="B1627">
        <v>213.308680140728</v>
      </c>
    </row>
    <row r="1628" spans="1:2" x14ac:dyDescent="0.25">
      <c r="A1628" s="9">
        <v>43996</v>
      </c>
      <c r="B1628">
        <v>213.44992158135801</v>
      </c>
    </row>
    <row r="1629" spans="1:2" x14ac:dyDescent="0.25">
      <c r="A1629" s="9">
        <v>43997</v>
      </c>
      <c r="B1629">
        <v>213.59839738657601</v>
      </c>
    </row>
    <row r="1630" spans="1:2" x14ac:dyDescent="0.25">
      <c r="A1630" s="9">
        <v>43998</v>
      </c>
      <c r="B1630">
        <v>213.76185915843499</v>
      </c>
    </row>
    <row r="1631" spans="1:2" x14ac:dyDescent="0.25">
      <c r="A1631" s="9">
        <v>43999</v>
      </c>
      <c r="B1631">
        <v>213.88419206829499</v>
      </c>
    </row>
    <row r="1632" spans="1:2" x14ac:dyDescent="0.25">
      <c r="A1632" s="9">
        <v>44000</v>
      </c>
      <c r="B1632">
        <v>214.01922039055901</v>
      </c>
    </row>
    <row r="1633" spans="1:2" x14ac:dyDescent="0.25">
      <c r="A1633" s="9">
        <v>44001</v>
      </c>
      <c r="B1633">
        <v>214.18211235748601</v>
      </c>
    </row>
    <row r="1634" spans="1:2" x14ac:dyDescent="0.25">
      <c r="A1634" s="9">
        <v>44002</v>
      </c>
      <c r="B1634">
        <v>214.33716235113499</v>
      </c>
    </row>
    <row r="1635" spans="1:2" x14ac:dyDescent="0.25">
      <c r="A1635" s="9">
        <v>44003</v>
      </c>
      <c r="B1635">
        <v>214.48596384969201</v>
      </c>
    </row>
    <row r="1636" spans="1:2" x14ac:dyDescent="0.25">
      <c r="A1636" s="9">
        <v>44004</v>
      </c>
      <c r="B1636">
        <v>214.63001393762499</v>
      </c>
    </row>
    <row r="1637" spans="1:2" x14ac:dyDescent="0.25">
      <c r="A1637" s="9">
        <v>44005</v>
      </c>
      <c r="B1637">
        <v>214.764826790412</v>
      </c>
    </row>
    <row r="1638" spans="1:2" x14ac:dyDescent="0.25">
      <c r="A1638" s="9">
        <v>44006</v>
      </c>
      <c r="B1638">
        <v>214.91652382212601</v>
      </c>
    </row>
    <row r="1639" spans="1:2" x14ac:dyDescent="0.25">
      <c r="A1639" s="9">
        <v>44007</v>
      </c>
      <c r="B1639">
        <v>215.055649900399</v>
      </c>
    </row>
    <row r="1640" spans="1:2" x14ac:dyDescent="0.25">
      <c r="A1640" s="9">
        <v>44008</v>
      </c>
      <c r="B1640">
        <v>215.20067324034201</v>
      </c>
    </row>
    <row r="1641" spans="1:2" x14ac:dyDescent="0.25">
      <c r="A1641" s="9">
        <v>44009</v>
      </c>
      <c r="B1641">
        <v>215.33356420224601</v>
      </c>
    </row>
    <row r="1642" spans="1:2" x14ac:dyDescent="0.25">
      <c r="A1642" s="9">
        <v>44010</v>
      </c>
      <c r="B1642">
        <v>215.48061892358399</v>
      </c>
    </row>
    <row r="1643" spans="1:2" x14ac:dyDescent="0.25">
      <c r="A1643" s="9">
        <v>44011</v>
      </c>
      <c r="B1643">
        <v>215.622170197233</v>
      </c>
    </row>
    <row r="1644" spans="1:2" x14ac:dyDescent="0.25">
      <c r="A1644" s="9">
        <v>44012</v>
      </c>
      <c r="B1644">
        <v>215.769133761679</v>
      </c>
    </row>
    <row r="1645" spans="1:2" x14ac:dyDescent="0.25">
      <c r="A1645" s="9">
        <v>44013</v>
      </c>
      <c r="B1645">
        <v>215.91872439333201</v>
      </c>
    </row>
    <row r="1646" spans="1:2" x14ac:dyDescent="0.25">
      <c r="A1646" s="9">
        <v>44014</v>
      </c>
      <c r="B1646">
        <v>216.05442634577099</v>
      </c>
    </row>
    <row r="1647" spans="1:2" x14ac:dyDescent="0.25">
      <c r="A1647" s="9">
        <v>44015</v>
      </c>
      <c r="B1647">
        <v>216.205744219282</v>
      </c>
    </row>
    <row r="1648" spans="1:2" x14ac:dyDescent="0.25">
      <c r="A1648" s="9">
        <v>44016</v>
      </c>
      <c r="B1648">
        <v>216.37579307290699</v>
      </c>
    </row>
    <row r="1649" spans="1:2" x14ac:dyDescent="0.25">
      <c r="A1649" s="9">
        <v>44017</v>
      </c>
      <c r="B1649">
        <v>216.49807512090999</v>
      </c>
    </row>
    <row r="1650" spans="1:2" x14ac:dyDescent="0.25">
      <c r="A1650" s="9">
        <v>44018</v>
      </c>
      <c r="B1650">
        <v>216.65978766725499</v>
      </c>
    </row>
    <row r="1651" spans="1:2" x14ac:dyDescent="0.25">
      <c r="A1651" s="9">
        <v>44019</v>
      </c>
      <c r="B1651">
        <v>216.80692875831201</v>
      </c>
    </row>
    <row r="1652" spans="1:2" x14ac:dyDescent="0.25">
      <c r="A1652" s="9">
        <v>44020</v>
      </c>
      <c r="B1652">
        <v>216.96895869128599</v>
      </c>
    </row>
    <row r="1653" spans="1:2" x14ac:dyDescent="0.25">
      <c r="A1653" s="9">
        <v>44021</v>
      </c>
      <c r="B1653">
        <v>217.115478968676</v>
      </c>
    </row>
    <row r="1654" spans="1:2" x14ac:dyDescent="0.25">
      <c r="A1654" s="9">
        <v>44022</v>
      </c>
      <c r="B1654">
        <v>217.27102602135301</v>
      </c>
    </row>
    <row r="1655" spans="1:2" x14ac:dyDescent="0.25">
      <c r="A1655" s="9">
        <v>44023</v>
      </c>
      <c r="B1655">
        <v>217.41646689041801</v>
      </c>
    </row>
    <row r="1656" spans="1:2" x14ac:dyDescent="0.25">
      <c r="A1656" s="9">
        <v>44024</v>
      </c>
      <c r="B1656">
        <v>217.56968835115501</v>
      </c>
    </row>
    <row r="1657" spans="1:2" x14ac:dyDescent="0.25">
      <c r="A1657" s="9">
        <v>44025</v>
      </c>
      <c r="B1657">
        <v>217.72550827456999</v>
      </c>
    </row>
    <row r="1658" spans="1:2" x14ac:dyDescent="0.25">
      <c r="A1658" s="9">
        <v>44026</v>
      </c>
      <c r="B1658">
        <v>217.883789219031</v>
      </c>
    </row>
    <row r="1659" spans="1:2" x14ac:dyDescent="0.25">
      <c r="A1659" s="9">
        <v>44027</v>
      </c>
      <c r="B1659">
        <v>218.025200583295</v>
      </c>
    </row>
    <row r="1660" spans="1:2" x14ac:dyDescent="0.25">
      <c r="A1660" s="9">
        <v>44028</v>
      </c>
      <c r="B1660">
        <v>218.180906784858</v>
      </c>
    </row>
    <row r="1661" spans="1:2" x14ac:dyDescent="0.25">
      <c r="A1661" s="9">
        <v>44029</v>
      </c>
      <c r="B1661">
        <v>218.33072712855099</v>
      </c>
    </row>
    <row r="1662" spans="1:2" x14ac:dyDescent="0.25">
      <c r="A1662" s="9">
        <v>44030</v>
      </c>
      <c r="B1662">
        <v>218.49090576121199</v>
      </c>
    </row>
    <row r="1663" spans="1:2" x14ac:dyDescent="0.25">
      <c r="A1663" s="9">
        <v>44031</v>
      </c>
      <c r="B1663">
        <v>218.63042735941499</v>
      </c>
    </row>
    <row r="1664" spans="1:2" x14ac:dyDescent="0.25">
      <c r="A1664" s="9">
        <v>44032</v>
      </c>
      <c r="B1664">
        <v>218.77094229887999</v>
      </c>
    </row>
    <row r="1665" spans="1:2" x14ac:dyDescent="0.25">
      <c r="A1665" s="9">
        <v>44033</v>
      </c>
      <c r="B1665">
        <v>218.92200291824</v>
      </c>
    </row>
    <row r="1666" spans="1:2" x14ac:dyDescent="0.25">
      <c r="A1666" s="9">
        <v>44034</v>
      </c>
      <c r="B1666">
        <v>219.06952397849801</v>
      </c>
    </row>
    <row r="1667" spans="1:2" x14ac:dyDescent="0.25">
      <c r="A1667" s="9">
        <v>44035</v>
      </c>
      <c r="B1667">
        <v>219.21716149636501</v>
      </c>
    </row>
    <row r="1668" spans="1:2" x14ac:dyDescent="0.25">
      <c r="A1668" s="9">
        <v>44036</v>
      </c>
      <c r="B1668">
        <v>219.36299579092599</v>
      </c>
    </row>
    <row r="1669" spans="1:2" x14ac:dyDescent="0.25">
      <c r="A1669" s="9">
        <v>44037</v>
      </c>
      <c r="B1669">
        <v>219.507449668097</v>
      </c>
    </row>
    <row r="1670" spans="1:2" x14ac:dyDescent="0.25">
      <c r="A1670" s="9">
        <v>44038</v>
      </c>
      <c r="B1670">
        <v>219.66059425307199</v>
      </c>
    </row>
    <row r="1671" spans="1:2" x14ac:dyDescent="0.25">
      <c r="A1671" s="9">
        <v>44039</v>
      </c>
      <c r="B1671">
        <v>219.815998213407</v>
      </c>
    </row>
    <row r="1672" spans="1:2" x14ac:dyDescent="0.25">
      <c r="A1672" s="9">
        <v>44040</v>
      </c>
      <c r="B1672">
        <v>219.97090687420399</v>
      </c>
    </row>
    <row r="1673" spans="1:2" x14ac:dyDescent="0.25">
      <c r="A1673" s="9">
        <v>44041</v>
      </c>
      <c r="B1673">
        <v>220.12055030423801</v>
      </c>
    </row>
    <row r="1674" spans="1:2" x14ac:dyDescent="0.25">
      <c r="A1674" s="9">
        <v>44042</v>
      </c>
      <c r="B1674">
        <v>220.27801590534199</v>
      </c>
    </row>
    <row r="1675" spans="1:2" x14ac:dyDescent="0.25">
      <c r="A1675" s="9">
        <v>44043</v>
      </c>
      <c r="B1675">
        <v>220.428494308723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1503-DF34-413B-B84A-0B1D8BEE9C94}">
  <dimension ref="A1:O28"/>
  <sheetViews>
    <sheetView workbookViewId="0">
      <selection activeCell="F16" sqref="F16"/>
    </sheetView>
  </sheetViews>
  <sheetFormatPr defaultColWidth="9.140625" defaultRowHeight="12.75" x14ac:dyDescent="0.2"/>
  <cols>
    <col min="1" max="1" width="4.42578125" style="12" customWidth="1"/>
    <col min="2" max="2" width="4.28515625" style="12" customWidth="1"/>
    <col min="3" max="3" width="9.140625" style="12"/>
    <col min="4" max="4" width="20.140625" style="12" customWidth="1"/>
    <col min="5" max="5" width="2" style="12" customWidth="1"/>
    <col min="6" max="6" width="13" style="12" customWidth="1"/>
    <col min="7" max="7" width="13.7109375" style="12" customWidth="1"/>
    <col min="8" max="9" width="13.28515625" style="12" customWidth="1"/>
    <col min="10" max="10" width="13" style="12" customWidth="1"/>
    <col min="11" max="11" width="13.7109375" style="12" customWidth="1"/>
    <col min="12" max="13" width="13.28515625" style="12" customWidth="1"/>
    <col min="14" max="15" width="13" style="12" customWidth="1"/>
    <col min="16" max="16384" width="9.140625" style="12"/>
  </cols>
  <sheetData>
    <row r="1" spans="1:15" ht="15.75" x14ac:dyDescent="0.25">
      <c r="A1" s="10" t="s">
        <v>3</v>
      </c>
      <c r="B1" s="11"/>
      <c r="C1" s="11"/>
      <c r="D1" s="11"/>
    </row>
    <row r="2" spans="1:15" ht="15.75" x14ac:dyDescent="0.25">
      <c r="A2" s="10" t="s">
        <v>4</v>
      </c>
      <c r="B2" s="11"/>
      <c r="C2" s="11"/>
      <c r="D2" s="11"/>
    </row>
    <row r="3" spans="1:15" ht="12.75" customHeight="1" x14ac:dyDescent="0.25">
      <c r="A3" s="13" t="s">
        <v>5</v>
      </c>
      <c r="B3" s="11"/>
      <c r="C3" s="11"/>
      <c r="D3" s="11"/>
    </row>
    <row r="4" spans="1:15" x14ac:dyDescent="0.2">
      <c r="A4" s="13" t="s">
        <v>6</v>
      </c>
      <c r="B4" s="13"/>
      <c r="C4" s="13"/>
      <c r="D4" s="13"/>
    </row>
    <row r="5" spans="1:15" x14ac:dyDescent="0.2">
      <c r="A5" s="13"/>
      <c r="B5" s="13"/>
      <c r="C5" s="13"/>
      <c r="D5" s="13"/>
      <c r="E5" s="14"/>
      <c r="F5" s="15" t="s">
        <v>7</v>
      </c>
      <c r="G5" s="15"/>
      <c r="H5" s="15"/>
      <c r="I5" s="15"/>
      <c r="J5" s="15" t="s">
        <v>7</v>
      </c>
      <c r="K5" s="15"/>
      <c r="L5" s="15"/>
      <c r="M5" s="15"/>
      <c r="N5" s="15" t="s">
        <v>7</v>
      </c>
      <c r="O5" s="15"/>
    </row>
    <row r="6" spans="1:15" x14ac:dyDescent="0.2">
      <c r="A6" s="13"/>
      <c r="B6" s="13"/>
      <c r="C6" s="13"/>
      <c r="D6" s="13"/>
      <c r="E6" s="16"/>
      <c r="F6" s="115">
        <v>43190</v>
      </c>
      <c r="G6" s="115">
        <v>43281</v>
      </c>
      <c r="H6" s="115">
        <v>43373</v>
      </c>
      <c r="I6" s="115">
        <v>43465</v>
      </c>
      <c r="J6" s="115">
        <v>43555</v>
      </c>
      <c r="K6" s="115">
        <v>43646</v>
      </c>
      <c r="L6" s="115">
        <v>43738</v>
      </c>
      <c r="M6" s="115">
        <v>43830</v>
      </c>
      <c r="N6" s="115">
        <v>43921</v>
      </c>
      <c r="O6" s="115">
        <v>44012</v>
      </c>
    </row>
    <row r="7" spans="1:15" x14ac:dyDescent="0.2">
      <c r="A7" s="13"/>
      <c r="B7" s="13"/>
      <c r="C7" s="13"/>
      <c r="D7" s="13"/>
      <c r="E7" s="18"/>
      <c r="F7" s="18">
        <v>2018</v>
      </c>
      <c r="G7" s="18">
        <v>2018</v>
      </c>
      <c r="H7" s="18">
        <v>2018</v>
      </c>
      <c r="I7" s="18">
        <v>2018</v>
      </c>
      <c r="J7" s="18">
        <v>2019</v>
      </c>
      <c r="K7" s="18">
        <f>J7</f>
        <v>2019</v>
      </c>
      <c r="L7" s="18">
        <f>K7</f>
        <v>2019</v>
      </c>
      <c r="M7" s="18">
        <v>2019</v>
      </c>
      <c r="N7" s="18">
        <v>2020</v>
      </c>
      <c r="O7" s="18">
        <v>2020</v>
      </c>
    </row>
    <row r="8" spans="1:15" x14ac:dyDescent="0.2">
      <c r="A8" s="13"/>
      <c r="B8" s="13"/>
      <c r="C8" s="13"/>
      <c r="D8" s="13"/>
      <c r="E8" s="20"/>
    </row>
    <row r="9" spans="1:15" x14ac:dyDescent="0.2">
      <c r="A9" s="13" t="s">
        <v>14</v>
      </c>
      <c r="B9" s="13"/>
      <c r="C9" s="13"/>
      <c r="D9" s="13"/>
      <c r="E9" s="22"/>
      <c r="F9" s="23">
        <v>3700856</v>
      </c>
      <c r="G9" s="23">
        <v>3907270</v>
      </c>
      <c r="H9" s="23">
        <v>3999374</v>
      </c>
      <c r="I9" s="23">
        <v>4186841</v>
      </c>
      <c r="J9" s="23">
        <v>4520992</v>
      </c>
      <c r="K9" s="23">
        <v>4923116</v>
      </c>
      <c r="L9" s="23">
        <v>5244905</v>
      </c>
      <c r="M9" s="23">
        <v>5467434</v>
      </c>
      <c r="N9" s="23">
        <v>5767691</v>
      </c>
      <c r="O9" s="23">
        <v>6148286</v>
      </c>
    </row>
    <row r="10" spans="1:15" x14ac:dyDescent="0.2">
      <c r="B10" s="13" t="s">
        <v>15</v>
      </c>
      <c r="C10" s="13"/>
      <c r="D10" s="13"/>
      <c r="F10" s="24">
        <v>2300579</v>
      </c>
      <c r="G10" s="24">
        <v>2402431</v>
      </c>
      <c r="H10" s="24">
        <v>2531128</v>
      </c>
      <c r="I10" s="24">
        <v>2733400</v>
      </c>
      <c r="J10" s="24">
        <v>2870614</v>
      </c>
      <c r="K10" s="24">
        <v>3005657</v>
      </c>
      <c r="L10" s="24">
        <v>3097919</v>
      </c>
      <c r="M10" s="24">
        <v>3466023</v>
      </c>
      <c r="N10" s="24">
        <v>3599701</v>
      </c>
      <c r="O10" s="24">
        <v>3643707</v>
      </c>
    </row>
    <row r="11" spans="1:15" x14ac:dyDescent="0.2">
      <c r="B11" s="13" t="s">
        <v>16</v>
      </c>
      <c r="C11" s="13"/>
      <c r="D11" s="13"/>
      <c r="E11" s="25"/>
      <c r="F11" s="24">
        <v>536777</v>
      </c>
      <c r="G11" s="24">
        <v>592007</v>
      </c>
      <c r="H11" s="24">
        <v>510330</v>
      </c>
      <c r="I11" s="24">
        <v>730355</v>
      </c>
      <c r="J11" s="24">
        <v>616578</v>
      </c>
      <c r="K11" s="24">
        <v>603150</v>
      </c>
      <c r="L11" s="24">
        <v>553797</v>
      </c>
      <c r="M11" s="24">
        <v>878937</v>
      </c>
      <c r="N11" s="24">
        <v>503830</v>
      </c>
      <c r="O11" s="24">
        <v>434370</v>
      </c>
    </row>
    <row r="12" spans="1:15" x14ac:dyDescent="0.2">
      <c r="B12" s="13" t="s">
        <v>17</v>
      </c>
      <c r="C12" s="13"/>
      <c r="D12" s="13"/>
      <c r="E12" s="25"/>
      <c r="F12" s="24">
        <v>282310</v>
      </c>
      <c r="G12" s="24">
        <v>299095</v>
      </c>
      <c r="H12" s="24">
        <v>308620</v>
      </c>
      <c r="I12" s="24">
        <v>331789</v>
      </c>
      <c r="J12" s="24">
        <v>372764</v>
      </c>
      <c r="K12" s="24">
        <v>383233</v>
      </c>
      <c r="L12" s="24">
        <v>379776</v>
      </c>
      <c r="M12" s="24">
        <v>409376</v>
      </c>
      <c r="N12" s="24">
        <v>453817</v>
      </c>
      <c r="O12" s="24">
        <v>435045</v>
      </c>
    </row>
    <row r="13" spans="1:15" x14ac:dyDescent="0.2">
      <c r="B13" s="13" t="s">
        <v>18</v>
      </c>
      <c r="C13" s="13"/>
      <c r="D13" s="13"/>
      <c r="E13" s="25"/>
      <c r="F13" s="26">
        <v>134612</v>
      </c>
      <c r="G13" s="24">
        <v>151524</v>
      </c>
      <c r="H13" s="24">
        <v>168628</v>
      </c>
      <c r="I13" s="24">
        <v>175530</v>
      </c>
      <c r="J13" s="26">
        <v>201952</v>
      </c>
      <c r="K13" s="24">
        <v>224657</v>
      </c>
      <c r="L13" s="24">
        <v>233174</v>
      </c>
      <c r="M13" s="24">
        <v>254586</v>
      </c>
      <c r="N13" s="26">
        <v>252087</v>
      </c>
      <c r="O13" s="26">
        <v>277236</v>
      </c>
    </row>
    <row r="14" spans="1:15" x14ac:dyDescent="0.2">
      <c r="A14" s="13" t="s">
        <v>19</v>
      </c>
      <c r="B14" s="13"/>
      <c r="C14" s="13"/>
      <c r="D14" s="13"/>
      <c r="E14" s="25"/>
      <c r="F14" s="25">
        <f>F9-SUM(F10:F13)</f>
        <v>446578</v>
      </c>
      <c r="G14" s="27">
        <f>G9-SUM(G10:G13)</f>
        <v>462213</v>
      </c>
      <c r="H14" s="27">
        <f>H9-SUM(H10:H13)</f>
        <v>480668</v>
      </c>
      <c r="I14" s="27">
        <f>I9-SUM(I10:I13)</f>
        <v>215767</v>
      </c>
      <c r="J14" s="25">
        <f>J9-SUM(J10:J13)</f>
        <v>459084</v>
      </c>
      <c r="K14" s="27">
        <f>K9-SUM(K10:K13)</f>
        <v>706419</v>
      </c>
      <c r="L14" s="27">
        <f>L9-SUM(L10:L13)</f>
        <v>980239</v>
      </c>
      <c r="M14" s="27">
        <f>M9-SUM(M10:M13)</f>
        <v>458512</v>
      </c>
      <c r="N14" s="27">
        <f>N9-SUM(N10:N13)</f>
        <v>958256</v>
      </c>
      <c r="O14" s="27">
        <f>O9-SUM(O10:O13)</f>
        <v>1357928</v>
      </c>
    </row>
    <row r="15" spans="1:15" x14ac:dyDescent="0.2">
      <c r="A15" s="13" t="s">
        <v>20</v>
      </c>
      <c r="B15" s="13"/>
      <c r="C15" s="13"/>
      <c r="D15" s="13"/>
      <c r="F15" s="25"/>
      <c r="G15" s="25"/>
      <c r="H15" s="25"/>
      <c r="I15" s="25"/>
      <c r="J15" s="25"/>
      <c r="K15" s="25"/>
      <c r="L15" s="25"/>
      <c r="M15" s="25"/>
      <c r="N15" s="25"/>
      <c r="O15" s="25"/>
    </row>
    <row r="16" spans="1:15" x14ac:dyDescent="0.2">
      <c r="A16" s="13"/>
      <c r="B16" s="13" t="s">
        <v>21</v>
      </c>
      <c r="C16" s="13"/>
      <c r="D16" s="13"/>
      <c r="F16" s="25">
        <v>-81219</v>
      </c>
      <c r="G16" s="25">
        <v>-101605</v>
      </c>
      <c r="H16" s="25">
        <v>-108862</v>
      </c>
      <c r="I16" s="25">
        <v>-128807</v>
      </c>
      <c r="J16" s="25">
        <v>-135529</v>
      </c>
      <c r="K16" s="25">
        <v>-152033</v>
      </c>
      <c r="L16" s="25">
        <v>-160660</v>
      </c>
      <c r="M16" s="25">
        <v>-177801</v>
      </c>
      <c r="N16" s="25">
        <v>-184083</v>
      </c>
      <c r="O16" s="25">
        <v>-189151</v>
      </c>
    </row>
    <row r="17" spans="1:15" x14ac:dyDescent="0.2">
      <c r="A17" s="13"/>
      <c r="B17" s="13" t="s">
        <v>22</v>
      </c>
      <c r="C17" s="13"/>
      <c r="D17" s="13"/>
      <c r="E17" s="25"/>
      <c r="F17" s="25">
        <v>-65743</v>
      </c>
      <c r="G17" s="25">
        <v>68028</v>
      </c>
      <c r="H17" s="25">
        <v>7004</v>
      </c>
      <c r="I17" s="25">
        <v>32436</v>
      </c>
      <c r="J17" s="25">
        <v>76104</v>
      </c>
      <c r="K17" s="25">
        <v>-53470</v>
      </c>
      <c r="L17" s="25">
        <v>192744</v>
      </c>
      <c r="M17" s="25">
        <v>-131378</v>
      </c>
      <c r="N17" s="25">
        <v>21697</v>
      </c>
      <c r="O17" s="25">
        <v>-133175</v>
      </c>
    </row>
    <row r="18" spans="1:15" x14ac:dyDescent="0.2">
      <c r="A18" s="13" t="s">
        <v>23</v>
      </c>
      <c r="B18" s="13"/>
      <c r="C18" s="13"/>
      <c r="D18" s="13"/>
      <c r="E18" s="25"/>
      <c r="F18" s="27">
        <f>SUM(F14:F17)</f>
        <v>299616</v>
      </c>
      <c r="G18" s="27">
        <f>SUM(G14:G17)</f>
        <v>428636</v>
      </c>
      <c r="H18" s="27">
        <f>SUM(H14:H17)</f>
        <v>378810</v>
      </c>
      <c r="I18" s="27">
        <f>SUM(I14:I17)</f>
        <v>119396</v>
      </c>
      <c r="J18" s="27">
        <f>SUM(J14:J17)</f>
        <v>399659</v>
      </c>
      <c r="K18" s="27">
        <f>SUM(K14:K17)</f>
        <v>500916</v>
      </c>
      <c r="L18" s="27">
        <f>SUM(L14:L17)</f>
        <v>1012323</v>
      </c>
      <c r="M18" s="27">
        <f>SUM(M14:M17)</f>
        <v>149333</v>
      </c>
      <c r="N18" s="27">
        <f>SUM(N14:N17)</f>
        <v>795870</v>
      </c>
      <c r="O18" s="27">
        <f>SUM(O14:O17)</f>
        <v>1035602</v>
      </c>
    </row>
    <row r="19" spans="1:15" x14ac:dyDescent="0.2">
      <c r="A19" s="13" t="s">
        <v>24</v>
      </c>
      <c r="B19" s="13"/>
      <c r="C19" s="13"/>
      <c r="D19" s="13"/>
      <c r="E19" s="25"/>
      <c r="F19" s="28">
        <v>9492</v>
      </c>
      <c r="G19" s="28">
        <v>44287</v>
      </c>
      <c r="H19" s="25">
        <v>-24025</v>
      </c>
      <c r="I19" s="25">
        <v>-14538</v>
      </c>
      <c r="J19" s="28">
        <v>55607</v>
      </c>
      <c r="K19" s="28">
        <v>230266</v>
      </c>
      <c r="L19" s="25">
        <v>347079</v>
      </c>
      <c r="M19" s="25">
        <v>-437637</v>
      </c>
      <c r="N19" s="28">
        <v>86803</v>
      </c>
      <c r="O19" s="28">
        <v>315406</v>
      </c>
    </row>
    <row r="20" spans="1:15" ht="13.5" thickBot="1" x14ac:dyDescent="0.25">
      <c r="A20" s="13" t="s">
        <v>25</v>
      </c>
      <c r="B20" s="13"/>
      <c r="C20" s="13"/>
      <c r="D20" s="13"/>
      <c r="E20" s="22"/>
      <c r="F20" s="29">
        <f>F18-F19</f>
        <v>290124</v>
      </c>
      <c r="G20" s="29">
        <f>G18-G19</f>
        <v>384349</v>
      </c>
      <c r="H20" s="29">
        <f>H18-H19</f>
        <v>402835</v>
      </c>
      <c r="I20" s="29">
        <f>I18-I19</f>
        <v>133934</v>
      </c>
      <c r="J20" s="29">
        <f>J18-J19</f>
        <v>344052</v>
      </c>
      <c r="K20" s="29">
        <f>K18-K19</f>
        <v>270650</v>
      </c>
      <c r="L20" s="29">
        <f>L18-L19</f>
        <v>665244</v>
      </c>
      <c r="M20" s="29">
        <f>M18-M19</f>
        <v>586970</v>
      </c>
      <c r="N20" s="29">
        <f>N18-N19</f>
        <v>709067</v>
      </c>
      <c r="O20" s="29">
        <f>O18-O19</f>
        <v>720196</v>
      </c>
    </row>
    <row r="21" spans="1:15" x14ac:dyDescent="0.2">
      <c r="A21" s="13" t="s">
        <v>26</v>
      </c>
      <c r="B21" s="13"/>
      <c r="C21" s="13"/>
      <c r="D21" s="13"/>
      <c r="F21" s="30"/>
      <c r="G21" s="30"/>
      <c r="H21" s="30"/>
      <c r="I21" s="30"/>
      <c r="J21" s="30"/>
      <c r="K21" s="30"/>
      <c r="L21" s="30"/>
      <c r="M21" s="30"/>
      <c r="N21" s="30"/>
      <c r="O21" s="30"/>
    </row>
    <row r="22" spans="1:15" x14ac:dyDescent="0.2">
      <c r="A22" s="13"/>
      <c r="B22" s="13" t="s">
        <v>27</v>
      </c>
      <c r="C22" s="13"/>
      <c r="D22" s="13"/>
      <c r="E22" s="31"/>
      <c r="F22" s="32">
        <v>0.67</v>
      </c>
      <c r="G22" s="32">
        <v>0.88</v>
      </c>
      <c r="H22" s="32">
        <v>0.92</v>
      </c>
      <c r="I22" s="32">
        <v>0.31</v>
      </c>
      <c r="J22" s="32">
        <v>0.79</v>
      </c>
      <c r="K22" s="32">
        <v>0.62</v>
      </c>
      <c r="L22" s="32">
        <v>1.52</v>
      </c>
      <c r="M22" s="32">
        <v>1.34</v>
      </c>
      <c r="N22" s="32">
        <v>1.61</v>
      </c>
      <c r="O22" s="32">
        <v>1.63</v>
      </c>
    </row>
    <row r="23" spans="1:15" x14ac:dyDescent="0.2">
      <c r="A23" s="13"/>
      <c r="B23" s="13" t="s">
        <v>28</v>
      </c>
      <c r="C23" s="13"/>
      <c r="D23" s="13"/>
      <c r="E23" s="31"/>
      <c r="F23" s="32">
        <v>0.64</v>
      </c>
      <c r="G23" s="32">
        <v>0.85</v>
      </c>
      <c r="H23" s="32">
        <v>0.89</v>
      </c>
      <c r="I23" s="32">
        <v>0.3</v>
      </c>
      <c r="J23" s="32">
        <v>0.76</v>
      </c>
      <c r="K23" s="32">
        <v>0.6</v>
      </c>
      <c r="L23" s="32">
        <v>1.47</v>
      </c>
      <c r="M23" s="32">
        <v>1.3</v>
      </c>
      <c r="N23" s="32">
        <v>1.57</v>
      </c>
      <c r="O23" s="32">
        <v>1.59</v>
      </c>
    </row>
    <row r="24" spans="1:15" x14ac:dyDescent="0.2">
      <c r="A24" s="13" t="s">
        <v>29</v>
      </c>
      <c r="B24" s="13"/>
      <c r="C24" s="13"/>
      <c r="D24" s="13"/>
      <c r="F24" s="33"/>
      <c r="G24" s="33"/>
      <c r="H24" s="33"/>
      <c r="I24" s="33"/>
      <c r="J24" s="33"/>
      <c r="K24" s="33"/>
      <c r="L24" s="33"/>
      <c r="M24" s="33"/>
      <c r="N24" s="33"/>
      <c r="O24" s="33"/>
    </row>
    <row r="25" spans="1:15" x14ac:dyDescent="0.2">
      <c r="A25" s="13"/>
      <c r="B25" s="13" t="s">
        <v>27</v>
      </c>
      <c r="C25" s="13"/>
      <c r="D25" s="13"/>
      <c r="E25" s="33"/>
      <c r="F25" s="33">
        <v>434174</v>
      </c>
      <c r="G25" s="33">
        <v>435097</v>
      </c>
      <c r="H25" s="33">
        <v>435809</v>
      </c>
      <c r="I25" s="33">
        <v>436385</v>
      </c>
      <c r="J25" s="33">
        <v>436947</v>
      </c>
      <c r="K25" s="33">
        <v>437587</v>
      </c>
      <c r="L25" s="33">
        <v>438090</v>
      </c>
      <c r="M25" s="33">
        <v>438547</v>
      </c>
      <c r="N25" s="33">
        <v>439352</v>
      </c>
      <c r="O25" s="33">
        <v>440569</v>
      </c>
    </row>
    <row r="26" spans="1:15" x14ac:dyDescent="0.2">
      <c r="A26" s="13"/>
      <c r="B26" s="13" t="s">
        <v>28</v>
      </c>
      <c r="C26" s="13"/>
      <c r="D26" s="13"/>
      <c r="E26" s="33"/>
      <c r="F26" s="33">
        <v>450359</v>
      </c>
      <c r="G26" s="33">
        <v>451552</v>
      </c>
      <c r="H26" s="33">
        <v>451919</v>
      </c>
      <c r="I26" s="33">
        <v>451116</v>
      </c>
      <c r="J26" s="33">
        <v>451922</v>
      </c>
      <c r="K26" s="33">
        <v>452195</v>
      </c>
      <c r="L26" s="33">
        <v>451552</v>
      </c>
      <c r="M26" s="33">
        <v>451367</v>
      </c>
      <c r="N26" s="33">
        <v>452494</v>
      </c>
      <c r="O26" s="33">
        <v>453945</v>
      </c>
    </row>
    <row r="27" spans="1:15" x14ac:dyDescent="0.2">
      <c r="A27" s="13"/>
      <c r="B27" s="13"/>
      <c r="C27" s="13"/>
      <c r="D27" s="13"/>
      <c r="E27" s="33"/>
    </row>
    <row r="28" spans="1:15" x14ac:dyDescent="0.2">
      <c r="A28" s="34"/>
      <c r="B28" s="35"/>
      <c r="C28" s="13"/>
      <c r="D28" s="13"/>
      <c r="E28" s="33"/>
    </row>
  </sheetData>
  <mergeCells count="3">
    <mergeCell ref="F5:I5"/>
    <mergeCell ref="J5:M5"/>
    <mergeCell ref="N5:O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8D6F-D810-49E0-82FB-15F8FF380498}">
  <dimension ref="A1:S58"/>
  <sheetViews>
    <sheetView workbookViewId="0">
      <selection activeCell="K11" sqref="K11"/>
    </sheetView>
  </sheetViews>
  <sheetFormatPr defaultColWidth="9.140625" defaultRowHeight="12.75" x14ac:dyDescent="0.2"/>
  <cols>
    <col min="1" max="1" width="4.7109375" style="37" customWidth="1"/>
    <col min="2" max="5" width="1.42578125" style="37" customWidth="1"/>
    <col min="6" max="6" width="38.85546875" style="37" customWidth="1"/>
    <col min="7" max="9" width="14" style="37" customWidth="1"/>
    <col min="10" max="10" width="14.140625" style="37" customWidth="1"/>
    <col min="11" max="13" width="14" style="37" customWidth="1"/>
    <col min="14" max="14" width="14.140625" style="37" customWidth="1"/>
    <col min="15" max="16" width="14" style="37" customWidth="1"/>
    <col min="17" max="16384" width="9.140625" style="37"/>
  </cols>
  <sheetData>
    <row r="1" spans="1:19" ht="15.75" x14ac:dyDescent="0.25">
      <c r="A1" s="10" t="s">
        <v>3</v>
      </c>
      <c r="B1" s="10"/>
      <c r="C1" s="36"/>
      <c r="D1" s="36"/>
      <c r="E1" s="36"/>
      <c r="F1" s="36"/>
    </row>
    <row r="2" spans="1:19" ht="15.75" x14ac:dyDescent="0.25">
      <c r="A2" s="10" t="s">
        <v>30</v>
      </c>
      <c r="B2" s="10"/>
      <c r="C2" s="36"/>
      <c r="D2" s="36"/>
      <c r="E2" s="36"/>
      <c r="F2" s="36"/>
    </row>
    <row r="3" spans="1:19" x14ac:dyDescent="0.2">
      <c r="A3" s="13" t="s">
        <v>5</v>
      </c>
      <c r="B3" s="13"/>
      <c r="C3" s="13"/>
      <c r="D3" s="13"/>
      <c r="E3" s="13"/>
      <c r="F3" s="13"/>
      <c r="G3" s="38"/>
      <c r="H3" s="38"/>
      <c r="I3" s="38"/>
      <c r="J3" s="38"/>
      <c r="K3" s="38"/>
      <c r="L3" s="38"/>
      <c r="M3" s="38"/>
      <c r="O3" s="38"/>
      <c r="P3" s="38"/>
    </row>
    <row r="4" spans="1:19" x14ac:dyDescent="0.2">
      <c r="A4" s="13" t="s">
        <v>31</v>
      </c>
      <c r="B4" s="13"/>
      <c r="C4" s="13"/>
      <c r="D4" s="13"/>
      <c r="E4" s="13"/>
      <c r="F4" s="13"/>
      <c r="G4" s="38"/>
      <c r="H4" s="38"/>
      <c r="I4" s="38"/>
      <c r="J4" s="38"/>
      <c r="K4" s="38"/>
      <c r="L4" s="38"/>
      <c r="M4" s="38"/>
      <c r="O4" s="38"/>
      <c r="P4" s="38"/>
    </row>
    <row r="5" spans="1:19" x14ac:dyDescent="0.2">
      <c r="A5" s="13"/>
      <c r="B5" s="13"/>
      <c r="C5" s="13"/>
      <c r="D5" s="13"/>
      <c r="E5" s="13"/>
      <c r="F5" s="13"/>
    </row>
    <row r="6" spans="1:19" x14ac:dyDescent="0.2">
      <c r="A6" s="13"/>
      <c r="B6" s="13"/>
      <c r="C6" s="13"/>
      <c r="D6" s="13"/>
      <c r="E6" s="13"/>
      <c r="F6" s="13"/>
      <c r="G6" s="16" t="s">
        <v>10</v>
      </c>
      <c r="H6" s="16" t="s">
        <v>11</v>
      </c>
      <c r="I6" s="16" t="s">
        <v>12</v>
      </c>
      <c r="J6" s="39" t="s">
        <v>13</v>
      </c>
      <c r="K6" s="16" t="s">
        <v>10</v>
      </c>
      <c r="L6" s="16" t="s">
        <v>11</v>
      </c>
      <c r="M6" s="16" t="s">
        <v>12</v>
      </c>
      <c r="N6" s="39" t="s">
        <v>13</v>
      </c>
      <c r="O6" s="16" t="s">
        <v>10</v>
      </c>
      <c r="P6" s="16" t="s">
        <v>11</v>
      </c>
    </row>
    <row r="7" spans="1:19" x14ac:dyDescent="0.2">
      <c r="A7" s="13"/>
      <c r="B7" s="13"/>
      <c r="C7" s="13"/>
      <c r="D7" s="13"/>
      <c r="E7" s="13"/>
      <c r="F7" s="13"/>
      <c r="G7" s="18">
        <v>2018</v>
      </c>
      <c r="H7" s="18">
        <v>2018</v>
      </c>
      <c r="I7" s="18">
        <v>2018</v>
      </c>
      <c r="J7" s="19">
        <v>2018</v>
      </c>
      <c r="K7" s="18">
        <v>2019</v>
      </c>
      <c r="L7" s="18">
        <v>2019</v>
      </c>
      <c r="M7" s="18">
        <v>2019</v>
      </c>
      <c r="N7" s="19">
        <v>2019</v>
      </c>
      <c r="O7" s="18">
        <v>2020</v>
      </c>
      <c r="P7" s="18">
        <v>2020</v>
      </c>
    </row>
    <row r="8" spans="1:19" x14ac:dyDescent="0.2">
      <c r="A8" s="40" t="s">
        <v>32</v>
      </c>
      <c r="B8" s="40"/>
      <c r="C8" s="41"/>
      <c r="D8" s="41"/>
      <c r="E8" s="41"/>
      <c r="F8" s="41"/>
      <c r="J8" s="42"/>
      <c r="N8" s="42"/>
    </row>
    <row r="9" spans="1:19" x14ac:dyDescent="0.2">
      <c r="A9" s="41" t="s">
        <v>33</v>
      </c>
      <c r="B9" s="41"/>
      <c r="C9" s="41"/>
      <c r="D9" s="41"/>
      <c r="E9" s="41"/>
      <c r="F9" s="41"/>
      <c r="J9" s="42"/>
      <c r="N9" s="42"/>
    </row>
    <row r="10" spans="1:19" x14ac:dyDescent="0.2">
      <c r="A10" s="41"/>
      <c r="C10" s="41" t="s">
        <v>34</v>
      </c>
      <c r="D10" s="41"/>
      <c r="E10" s="41"/>
      <c r="F10" s="41"/>
      <c r="G10" s="23">
        <v>2593666</v>
      </c>
      <c r="H10" s="23">
        <v>3906357</v>
      </c>
      <c r="I10" s="43">
        <v>3067534</v>
      </c>
      <c r="J10" s="44">
        <v>3794483</v>
      </c>
      <c r="K10" s="43">
        <v>3348557</v>
      </c>
      <c r="L10" s="23">
        <v>5004247</v>
      </c>
      <c r="M10" s="43">
        <v>4435018</v>
      </c>
      <c r="N10" s="44">
        <v>5018437</v>
      </c>
      <c r="O10" s="43">
        <v>5151884</v>
      </c>
      <c r="P10" s="43">
        <v>7153248</v>
      </c>
    </row>
    <row r="11" spans="1:19" x14ac:dyDescent="0.2">
      <c r="A11" s="41"/>
      <c r="C11" s="41" t="s">
        <v>35</v>
      </c>
      <c r="D11" s="41"/>
      <c r="E11" s="41"/>
      <c r="F11" s="41"/>
      <c r="G11" s="45">
        <v>4626522</v>
      </c>
      <c r="H11" s="45">
        <v>4803663</v>
      </c>
      <c r="I11" s="45">
        <v>4987916</v>
      </c>
      <c r="J11" s="46">
        <v>5151186</v>
      </c>
      <c r="K11" s="47">
        <v>0</v>
      </c>
      <c r="L11" s="45">
        <v>0</v>
      </c>
      <c r="M11" s="45">
        <v>0</v>
      </c>
      <c r="N11" s="46">
        <v>0</v>
      </c>
      <c r="O11" s="47">
        <v>0</v>
      </c>
      <c r="P11" s="47">
        <v>0</v>
      </c>
    </row>
    <row r="12" spans="1:19" x14ac:dyDescent="0.2">
      <c r="A12" s="41"/>
      <c r="C12" s="41" t="s">
        <v>36</v>
      </c>
      <c r="D12" s="41"/>
      <c r="E12" s="41"/>
      <c r="F12" s="41"/>
      <c r="G12" s="48">
        <v>597388</v>
      </c>
      <c r="H12" s="48">
        <v>636869</v>
      </c>
      <c r="I12" s="48">
        <v>674531</v>
      </c>
      <c r="J12" s="49">
        <v>748466</v>
      </c>
      <c r="K12" s="50">
        <v>820350</v>
      </c>
      <c r="L12" s="48">
        <v>872910</v>
      </c>
      <c r="M12" s="48">
        <v>892740</v>
      </c>
      <c r="N12" s="49">
        <v>1160067</v>
      </c>
      <c r="O12" s="50">
        <v>1295897</v>
      </c>
      <c r="P12" s="50">
        <v>1410891</v>
      </c>
    </row>
    <row r="13" spans="1:19" x14ac:dyDescent="0.2">
      <c r="A13" s="41"/>
      <c r="B13" s="41"/>
      <c r="C13" s="41"/>
      <c r="D13" s="41"/>
      <c r="E13" s="41"/>
      <c r="F13" s="41" t="s">
        <v>37</v>
      </c>
      <c r="G13" s="51">
        <f t="shared" ref="G13:P13" si="0">SUM(G10:G12)</f>
        <v>7817576</v>
      </c>
      <c r="H13" s="51">
        <f t="shared" si="0"/>
        <v>9346889</v>
      </c>
      <c r="I13" s="51">
        <f t="shared" si="0"/>
        <v>8729981</v>
      </c>
      <c r="J13" s="46">
        <f t="shared" si="0"/>
        <v>9694135</v>
      </c>
      <c r="K13" s="51">
        <f t="shared" si="0"/>
        <v>4168907</v>
      </c>
      <c r="L13" s="51">
        <f t="shared" si="0"/>
        <v>5877157</v>
      </c>
      <c r="M13" s="51">
        <f t="shared" si="0"/>
        <v>5327758</v>
      </c>
      <c r="N13" s="46">
        <f t="shared" si="0"/>
        <v>6178504</v>
      </c>
      <c r="O13" s="51">
        <f t="shared" si="0"/>
        <v>6447781</v>
      </c>
      <c r="P13" s="51">
        <f t="shared" si="0"/>
        <v>8564139</v>
      </c>
      <c r="Q13" s="52"/>
      <c r="R13" s="52"/>
      <c r="S13" s="52"/>
    </row>
    <row r="14" spans="1:19" x14ac:dyDescent="0.2">
      <c r="A14" s="53" t="s">
        <v>38</v>
      </c>
      <c r="B14" s="41"/>
      <c r="C14" s="41"/>
      <c r="D14" s="41"/>
      <c r="E14" s="41"/>
      <c r="F14" s="41"/>
      <c r="G14" s="51">
        <v>11300469</v>
      </c>
      <c r="H14" s="51">
        <v>12279519</v>
      </c>
      <c r="I14" s="51">
        <v>13397672</v>
      </c>
      <c r="J14" s="46">
        <v>14951141</v>
      </c>
      <c r="K14" s="54">
        <v>20878317</v>
      </c>
      <c r="L14" s="51">
        <v>21937845</v>
      </c>
      <c r="M14" s="51">
        <v>23227772</v>
      </c>
      <c r="N14" s="46">
        <v>24504567</v>
      </c>
      <c r="O14" s="54">
        <v>25266889</v>
      </c>
      <c r="P14" s="54">
        <v>25155117</v>
      </c>
    </row>
    <row r="15" spans="1:19" x14ac:dyDescent="0.2">
      <c r="A15" s="41" t="s">
        <v>39</v>
      </c>
      <c r="B15" s="41"/>
      <c r="C15" s="41"/>
      <c r="D15" s="41"/>
      <c r="E15" s="41"/>
      <c r="F15" s="41"/>
      <c r="G15" s="51">
        <v>341932</v>
      </c>
      <c r="H15" s="51">
        <v>349646</v>
      </c>
      <c r="I15" s="51">
        <v>371152</v>
      </c>
      <c r="J15" s="46">
        <v>418281</v>
      </c>
      <c r="K15" s="54">
        <v>434372</v>
      </c>
      <c r="L15" s="51">
        <v>452399</v>
      </c>
      <c r="M15" s="51">
        <v>481992</v>
      </c>
      <c r="N15" s="46">
        <v>565221</v>
      </c>
      <c r="O15" s="54">
        <v>650455</v>
      </c>
      <c r="P15" s="54">
        <v>751941</v>
      </c>
    </row>
    <row r="16" spans="1:19" x14ac:dyDescent="0.2">
      <c r="A16" s="41" t="s">
        <v>40</v>
      </c>
      <c r="B16" s="41"/>
      <c r="C16" s="41"/>
      <c r="D16" s="41"/>
      <c r="E16" s="41"/>
      <c r="F16" s="41"/>
      <c r="G16" s="51">
        <v>692820</v>
      </c>
      <c r="H16" s="51">
        <v>687483</v>
      </c>
      <c r="I16" s="51">
        <v>867424</v>
      </c>
      <c r="J16" s="46">
        <v>910843</v>
      </c>
      <c r="K16" s="50">
        <v>1737036</v>
      </c>
      <c r="L16" s="51">
        <v>1903938</v>
      </c>
      <c r="M16" s="51">
        <v>1904189</v>
      </c>
      <c r="N16" s="46">
        <v>2727420</v>
      </c>
      <c r="O16" s="50">
        <v>2694785</v>
      </c>
      <c r="P16" s="50">
        <v>2704084</v>
      </c>
    </row>
    <row r="17" spans="1:19" s="58" customFormat="1" ht="13.5" thickBot="1" x14ac:dyDescent="0.25">
      <c r="A17" s="40"/>
      <c r="B17" s="40"/>
      <c r="C17" s="40"/>
      <c r="D17" s="40"/>
      <c r="E17" s="40"/>
      <c r="F17" s="40" t="s">
        <v>41</v>
      </c>
      <c r="G17" s="55">
        <f t="shared" ref="G17:P17" si="1">SUM(G13:G16)</f>
        <v>20152797</v>
      </c>
      <c r="H17" s="55">
        <f t="shared" si="1"/>
        <v>22663537</v>
      </c>
      <c r="I17" s="55">
        <f t="shared" si="1"/>
        <v>23366229</v>
      </c>
      <c r="J17" s="56">
        <f t="shared" si="1"/>
        <v>25974400</v>
      </c>
      <c r="K17" s="55">
        <f t="shared" si="1"/>
        <v>27218632</v>
      </c>
      <c r="L17" s="55">
        <f t="shared" si="1"/>
        <v>30171339</v>
      </c>
      <c r="M17" s="55">
        <f t="shared" si="1"/>
        <v>30941711</v>
      </c>
      <c r="N17" s="56">
        <f t="shared" si="1"/>
        <v>33975712</v>
      </c>
      <c r="O17" s="55">
        <f t="shared" si="1"/>
        <v>35059910</v>
      </c>
      <c r="P17" s="55">
        <f t="shared" si="1"/>
        <v>37175281</v>
      </c>
      <c r="Q17" s="57"/>
      <c r="R17" s="57"/>
      <c r="S17" s="57"/>
    </row>
    <row r="18" spans="1:19" x14ac:dyDescent="0.2">
      <c r="A18" s="40" t="s">
        <v>42</v>
      </c>
      <c r="B18" s="40"/>
      <c r="C18" s="41"/>
      <c r="D18" s="41"/>
      <c r="E18" s="41"/>
      <c r="F18" s="41"/>
      <c r="G18" s="59"/>
      <c r="H18" s="59"/>
      <c r="I18" s="59"/>
      <c r="J18" s="60"/>
      <c r="K18" s="59"/>
      <c r="L18" s="59"/>
      <c r="M18" s="59"/>
      <c r="N18" s="60"/>
      <c r="O18" s="59"/>
      <c r="P18" s="59"/>
    </row>
    <row r="19" spans="1:19" x14ac:dyDescent="0.2">
      <c r="A19" s="41" t="s">
        <v>43</v>
      </c>
      <c r="B19" s="41"/>
      <c r="C19" s="41"/>
      <c r="D19" s="41"/>
      <c r="E19" s="41"/>
      <c r="F19" s="41"/>
      <c r="G19" s="51"/>
      <c r="H19" s="51"/>
      <c r="I19" s="51"/>
      <c r="J19" s="46"/>
      <c r="K19" s="51"/>
      <c r="L19" s="51"/>
      <c r="M19" s="51"/>
      <c r="N19" s="46"/>
      <c r="O19" s="51"/>
      <c r="P19" s="51"/>
    </row>
    <row r="20" spans="1:19" x14ac:dyDescent="0.2">
      <c r="A20" s="41"/>
      <c r="B20" s="41"/>
      <c r="C20" s="41" t="s">
        <v>44</v>
      </c>
      <c r="D20" s="41"/>
      <c r="E20" s="41"/>
      <c r="F20" s="41"/>
      <c r="G20" s="61">
        <v>4459391</v>
      </c>
      <c r="H20" s="61">
        <v>4537578</v>
      </c>
      <c r="I20" s="61">
        <v>4609055</v>
      </c>
      <c r="J20" s="44">
        <v>4681562</v>
      </c>
      <c r="K20" s="61">
        <v>4858899</v>
      </c>
      <c r="L20" s="61">
        <v>4846525</v>
      </c>
      <c r="M20" s="61">
        <v>4857520</v>
      </c>
      <c r="N20" s="44">
        <v>4413561</v>
      </c>
      <c r="O20" s="61">
        <v>4761585</v>
      </c>
      <c r="P20" s="61">
        <v>4664733</v>
      </c>
    </row>
    <row r="21" spans="1:19" x14ac:dyDescent="0.2">
      <c r="A21" s="41"/>
      <c r="C21" s="41" t="s">
        <v>45</v>
      </c>
      <c r="D21" s="41"/>
      <c r="E21" s="41"/>
      <c r="F21" s="41"/>
      <c r="G21" s="51">
        <v>436183</v>
      </c>
      <c r="H21" s="51">
        <v>448219</v>
      </c>
      <c r="I21" s="51">
        <v>441427</v>
      </c>
      <c r="J21" s="46">
        <v>562985</v>
      </c>
      <c r="K21" s="54">
        <v>439496</v>
      </c>
      <c r="L21" s="51">
        <v>442194</v>
      </c>
      <c r="M21" s="51">
        <v>444129</v>
      </c>
      <c r="N21" s="46">
        <v>674347</v>
      </c>
      <c r="O21" s="54">
        <v>545488</v>
      </c>
      <c r="P21" s="54">
        <v>446668</v>
      </c>
    </row>
    <row r="22" spans="1:19" x14ac:dyDescent="0.2">
      <c r="A22" s="41"/>
      <c r="C22" s="41" t="s">
        <v>46</v>
      </c>
      <c r="D22" s="41"/>
      <c r="E22" s="41"/>
      <c r="F22" s="41"/>
      <c r="G22" s="51">
        <v>436121</v>
      </c>
      <c r="H22" s="51">
        <v>396104</v>
      </c>
      <c r="I22" s="51">
        <v>531035</v>
      </c>
      <c r="J22" s="46">
        <v>481874</v>
      </c>
      <c r="K22" s="62">
        <v>750720</v>
      </c>
      <c r="L22" s="51">
        <v>752488</v>
      </c>
      <c r="M22" s="51">
        <v>1040745</v>
      </c>
      <c r="N22" s="46">
        <v>843043</v>
      </c>
      <c r="O22" s="62">
        <v>1061090</v>
      </c>
      <c r="P22" s="62">
        <v>986595</v>
      </c>
    </row>
    <row r="23" spans="1:19" x14ac:dyDescent="0.2">
      <c r="A23" s="41"/>
      <c r="C23" s="41" t="s">
        <v>47</v>
      </c>
      <c r="D23" s="41"/>
      <c r="E23" s="41"/>
      <c r="F23" s="41"/>
      <c r="G23" s="51">
        <v>673892</v>
      </c>
      <c r="H23" s="51">
        <v>697740</v>
      </c>
      <c r="I23" s="51">
        <v>716723</v>
      </c>
      <c r="J23" s="46">
        <v>760899</v>
      </c>
      <c r="K23" s="62">
        <v>808692</v>
      </c>
      <c r="L23" s="51">
        <v>892777</v>
      </c>
      <c r="M23" s="51">
        <v>915506</v>
      </c>
      <c r="N23" s="46">
        <v>924745</v>
      </c>
      <c r="O23" s="62">
        <v>986753</v>
      </c>
      <c r="P23" s="62">
        <v>1029261</v>
      </c>
    </row>
    <row r="24" spans="1:19" x14ac:dyDescent="0.2">
      <c r="A24" s="41"/>
      <c r="C24" s="41" t="s">
        <v>48</v>
      </c>
      <c r="D24" s="41"/>
      <c r="E24" s="41"/>
      <c r="F24" s="41"/>
      <c r="G24" s="63">
        <v>0</v>
      </c>
      <c r="H24" s="63">
        <v>0</v>
      </c>
      <c r="I24" s="63">
        <v>0</v>
      </c>
      <c r="J24" s="49">
        <v>0</v>
      </c>
      <c r="K24" s="50">
        <v>0</v>
      </c>
      <c r="L24" s="63">
        <v>0</v>
      </c>
      <c r="M24" s="63">
        <v>0</v>
      </c>
      <c r="N24" s="49">
        <v>0</v>
      </c>
      <c r="O24" s="50">
        <v>498809</v>
      </c>
      <c r="P24" s="50">
        <v>499161</v>
      </c>
    </row>
    <row r="25" spans="1:19" x14ac:dyDescent="0.2">
      <c r="A25" s="41"/>
      <c r="B25" s="41"/>
      <c r="C25" s="41"/>
      <c r="D25" s="41"/>
      <c r="E25" s="41"/>
      <c r="F25" s="41" t="s">
        <v>49</v>
      </c>
      <c r="G25" s="51">
        <f t="shared" ref="G25:P25" si="2">SUM(G20:G24)</f>
        <v>6005587</v>
      </c>
      <c r="H25" s="51">
        <f t="shared" si="2"/>
        <v>6079641</v>
      </c>
      <c r="I25" s="51">
        <f t="shared" si="2"/>
        <v>6298240</v>
      </c>
      <c r="J25" s="46">
        <f t="shared" si="2"/>
        <v>6487320</v>
      </c>
      <c r="K25" s="51">
        <f t="shared" si="2"/>
        <v>6857807</v>
      </c>
      <c r="L25" s="51">
        <f t="shared" si="2"/>
        <v>6933984</v>
      </c>
      <c r="M25" s="51">
        <f t="shared" si="2"/>
        <v>7257900</v>
      </c>
      <c r="N25" s="46">
        <f t="shared" si="2"/>
        <v>6855696</v>
      </c>
      <c r="O25" s="51">
        <f t="shared" si="2"/>
        <v>7853725</v>
      </c>
      <c r="P25" s="51">
        <f t="shared" si="2"/>
        <v>7626418</v>
      </c>
      <c r="Q25" s="64"/>
      <c r="R25" s="64"/>
      <c r="S25" s="64"/>
    </row>
    <row r="26" spans="1:19" x14ac:dyDescent="0.2">
      <c r="A26" s="53" t="s">
        <v>50</v>
      </c>
      <c r="B26" s="41"/>
      <c r="C26" s="41"/>
      <c r="D26" s="41"/>
      <c r="E26" s="41"/>
      <c r="F26" s="41"/>
      <c r="G26" s="51">
        <v>3444476</v>
      </c>
      <c r="H26" s="51">
        <v>3604158</v>
      </c>
      <c r="I26" s="51">
        <v>3593823</v>
      </c>
      <c r="J26" s="46">
        <v>3759026</v>
      </c>
      <c r="K26" s="51">
        <v>3560364</v>
      </c>
      <c r="L26" s="51">
        <v>3564440</v>
      </c>
      <c r="M26" s="51">
        <v>3419552</v>
      </c>
      <c r="N26" s="46">
        <v>3334323</v>
      </c>
      <c r="O26" s="51">
        <v>3206051</v>
      </c>
      <c r="P26" s="51">
        <v>3208164</v>
      </c>
    </row>
    <row r="27" spans="1:19" x14ac:dyDescent="0.2">
      <c r="A27" s="41" t="s">
        <v>51</v>
      </c>
      <c r="B27" s="41"/>
      <c r="C27" s="41"/>
      <c r="D27" s="41"/>
      <c r="E27" s="41"/>
      <c r="F27" s="41"/>
      <c r="G27" s="51">
        <v>6542373</v>
      </c>
      <c r="H27" s="51">
        <v>8342067</v>
      </c>
      <c r="I27" s="51">
        <v>8336586</v>
      </c>
      <c r="J27" s="46">
        <v>10360058</v>
      </c>
      <c r="K27" s="51">
        <v>10305023</v>
      </c>
      <c r="L27" s="51">
        <v>12594135</v>
      </c>
      <c r="M27" s="51">
        <v>12425746</v>
      </c>
      <c r="N27" s="46">
        <v>14759260</v>
      </c>
      <c r="O27" s="51">
        <v>14170692</v>
      </c>
      <c r="P27" s="51">
        <v>15294998</v>
      </c>
    </row>
    <row r="28" spans="1:19" x14ac:dyDescent="0.2">
      <c r="A28" s="41" t="s">
        <v>52</v>
      </c>
      <c r="B28" s="41"/>
      <c r="C28" s="41"/>
      <c r="D28" s="41"/>
      <c r="E28" s="41"/>
      <c r="F28" s="41"/>
      <c r="G28" s="63">
        <v>139631</v>
      </c>
      <c r="H28" s="63">
        <v>141071</v>
      </c>
      <c r="I28" s="63">
        <v>127927</v>
      </c>
      <c r="J28" s="49">
        <v>129231</v>
      </c>
      <c r="K28" s="63">
        <v>792380</v>
      </c>
      <c r="L28" s="63">
        <v>973232</v>
      </c>
      <c r="M28" s="63">
        <v>977008</v>
      </c>
      <c r="N28" s="49">
        <v>1444276</v>
      </c>
      <c r="O28" s="63">
        <v>1420148</v>
      </c>
      <c r="P28" s="63">
        <v>1710948</v>
      </c>
    </row>
    <row r="29" spans="1:19" x14ac:dyDescent="0.2">
      <c r="A29" s="41"/>
      <c r="B29" s="41"/>
      <c r="C29" s="41"/>
      <c r="D29" s="41"/>
      <c r="E29" s="41"/>
      <c r="F29" s="41" t="s">
        <v>53</v>
      </c>
      <c r="G29" s="51">
        <f t="shared" ref="G29:P29" si="3">SUM(G25:G28)</f>
        <v>16132067</v>
      </c>
      <c r="H29" s="51">
        <f t="shared" si="3"/>
        <v>18166937</v>
      </c>
      <c r="I29" s="51">
        <f t="shared" si="3"/>
        <v>18356576</v>
      </c>
      <c r="J29" s="46">
        <f t="shared" si="3"/>
        <v>20735635</v>
      </c>
      <c r="K29" s="51">
        <f t="shared" si="3"/>
        <v>21515574</v>
      </c>
      <c r="L29" s="51">
        <f t="shared" si="3"/>
        <v>24065791</v>
      </c>
      <c r="M29" s="51">
        <f t="shared" si="3"/>
        <v>24080206</v>
      </c>
      <c r="N29" s="46">
        <f t="shared" si="3"/>
        <v>26393555</v>
      </c>
      <c r="O29" s="51">
        <f t="shared" si="3"/>
        <v>26650616</v>
      </c>
      <c r="P29" s="51">
        <f t="shared" si="3"/>
        <v>27840528</v>
      </c>
      <c r="Q29" s="64"/>
      <c r="R29" s="64"/>
      <c r="S29" s="64"/>
    </row>
    <row r="30" spans="1:19" x14ac:dyDescent="0.2">
      <c r="A30" s="41" t="s">
        <v>54</v>
      </c>
      <c r="B30" s="41"/>
      <c r="C30" s="41"/>
      <c r="D30" s="41"/>
      <c r="E30" s="41"/>
      <c r="F30" s="41"/>
      <c r="G30" s="51"/>
      <c r="H30" s="51"/>
      <c r="I30" s="51"/>
      <c r="J30" s="46"/>
      <c r="K30" s="51"/>
      <c r="L30" s="51"/>
      <c r="M30" s="51"/>
      <c r="N30" s="46"/>
      <c r="O30" s="51"/>
      <c r="P30" s="51"/>
    </row>
    <row r="31" spans="1:19" ht="12.75" customHeight="1" x14ac:dyDescent="0.2">
      <c r="A31" s="41"/>
      <c r="B31" s="41" t="s">
        <v>55</v>
      </c>
      <c r="C31" s="65"/>
      <c r="D31" s="65"/>
      <c r="E31" s="65"/>
      <c r="F31" s="65"/>
      <c r="G31" s="51">
        <v>1995225</v>
      </c>
      <c r="H31" s="51">
        <v>2103437</v>
      </c>
      <c r="I31" s="51">
        <v>2215736</v>
      </c>
      <c r="J31" s="46">
        <v>2315988</v>
      </c>
      <c r="K31" s="51">
        <v>2439773</v>
      </c>
      <c r="L31" s="51">
        <v>2566365</v>
      </c>
      <c r="M31" s="51">
        <v>2677972</v>
      </c>
      <c r="N31" s="46">
        <v>2793929</v>
      </c>
      <c r="O31" s="51">
        <v>2935532</v>
      </c>
      <c r="P31" s="51">
        <v>3127813</v>
      </c>
    </row>
    <row r="32" spans="1:19" x14ac:dyDescent="0.2">
      <c r="A32" s="41"/>
      <c r="B32" s="41" t="s">
        <v>56</v>
      </c>
      <c r="C32" s="41"/>
      <c r="D32" s="41"/>
      <c r="E32" s="41"/>
      <c r="F32" s="41"/>
      <c r="G32" s="51">
        <v>4264</v>
      </c>
      <c r="H32" s="51">
        <v>-12427</v>
      </c>
      <c r="I32" s="51">
        <v>-14508</v>
      </c>
      <c r="J32" s="46">
        <v>-19582</v>
      </c>
      <c r="K32" s="51">
        <v>-25600</v>
      </c>
      <c r="L32" s="51">
        <v>-20352</v>
      </c>
      <c r="M32" s="51">
        <v>-41246</v>
      </c>
      <c r="N32" s="46">
        <v>-23521</v>
      </c>
      <c r="O32" s="51">
        <v>-47054</v>
      </c>
      <c r="P32" s="51">
        <v>-34072</v>
      </c>
    </row>
    <row r="33" spans="1:19" x14ac:dyDescent="0.2">
      <c r="A33" s="41"/>
      <c r="B33" s="41" t="s">
        <v>57</v>
      </c>
      <c r="C33" s="41"/>
      <c r="D33" s="41"/>
      <c r="E33" s="41"/>
      <c r="F33" s="41"/>
      <c r="G33" s="63">
        <v>2021241</v>
      </c>
      <c r="H33" s="63">
        <v>2405590</v>
      </c>
      <c r="I33" s="63">
        <v>2808425</v>
      </c>
      <c r="J33" s="49">
        <v>2942359</v>
      </c>
      <c r="K33" s="63">
        <v>3288885</v>
      </c>
      <c r="L33" s="63">
        <v>3559535</v>
      </c>
      <c r="M33" s="63">
        <v>4224779</v>
      </c>
      <c r="N33" s="49">
        <v>4811749</v>
      </c>
      <c r="O33" s="63">
        <v>5520816</v>
      </c>
      <c r="P33" s="63">
        <v>6241012</v>
      </c>
    </row>
    <row r="34" spans="1:19" ht="13.5" customHeight="1" x14ac:dyDescent="0.2">
      <c r="A34" s="41"/>
      <c r="B34" s="41"/>
      <c r="C34" s="41"/>
      <c r="D34" s="41"/>
      <c r="E34" s="41"/>
      <c r="F34" s="41" t="s">
        <v>58</v>
      </c>
      <c r="G34" s="51">
        <f t="shared" ref="G34:P34" si="4">SUM(G31:G33)</f>
        <v>4020730</v>
      </c>
      <c r="H34" s="51">
        <f t="shared" si="4"/>
        <v>4496600</v>
      </c>
      <c r="I34" s="51">
        <f t="shared" si="4"/>
        <v>5009653</v>
      </c>
      <c r="J34" s="46">
        <f t="shared" si="4"/>
        <v>5238765</v>
      </c>
      <c r="K34" s="51">
        <f t="shared" si="4"/>
        <v>5703058</v>
      </c>
      <c r="L34" s="51">
        <f t="shared" si="4"/>
        <v>6105548</v>
      </c>
      <c r="M34" s="51">
        <f t="shared" si="4"/>
        <v>6861505</v>
      </c>
      <c r="N34" s="46">
        <f t="shared" si="4"/>
        <v>7582157</v>
      </c>
      <c r="O34" s="51">
        <f t="shared" si="4"/>
        <v>8409294</v>
      </c>
      <c r="P34" s="51">
        <f t="shared" si="4"/>
        <v>9334753</v>
      </c>
      <c r="Q34" s="64"/>
      <c r="R34" s="64"/>
      <c r="S34" s="64"/>
    </row>
    <row r="35" spans="1:19" s="58" customFormat="1" ht="13.5" thickBot="1" x14ac:dyDescent="0.25">
      <c r="A35" s="40"/>
      <c r="B35" s="40"/>
      <c r="C35" s="40"/>
      <c r="D35" s="40"/>
      <c r="E35" s="40"/>
      <c r="F35" s="40" t="s">
        <v>59</v>
      </c>
      <c r="G35" s="55">
        <f t="shared" ref="G35:P35" si="5">G29+G34</f>
        <v>20152797</v>
      </c>
      <c r="H35" s="55">
        <f t="shared" si="5"/>
        <v>22663537</v>
      </c>
      <c r="I35" s="55">
        <f t="shared" si="5"/>
        <v>23366229</v>
      </c>
      <c r="J35" s="56">
        <f t="shared" si="5"/>
        <v>25974400</v>
      </c>
      <c r="K35" s="55">
        <f t="shared" si="5"/>
        <v>27218632</v>
      </c>
      <c r="L35" s="55">
        <f t="shared" si="5"/>
        <v>30171339</v>
      </c>
      <c r="M35" s="55">
        <f t="shared" si="5"/>
        <v>30941711</v>
      </c>
      <c r="N35" s="56">
        <f t="shared" si="5"/>
        <v>33975712</v>
      </c>
      <c r="O35" s="55">
        <f t="shared" si="5"/>
        <v>35059910</v>
      </c>
      <c r="P35" s="55">
        <f t="shared" si="5"/>
        <v>37175281</v>
      </c>
      <c r="Q35" s="57"/>
      <c r="R35" s="57"/>
      <c r="S35" s="57"/>
    </row>
    <row r="36" spans="1:19" s="58" customFormat="1" x14ac:dyDescent="0.2">
      <c r="A36" s="40"/>
      <c r="B36" s="40"/>
      <c r="C36" s="40"/>
      <c r="D36" s="40"/>
      <c r="E36" s="40"/>
      <c r="F36" s="40"/>
      <c r="G36" s="66"/>
      <c r="H36" s="66"/>
      <c r="I36" s="66"/>
      <c r="J36" s="66"/>
      <c r="K36" s="57"/>
      <c r="L36" s="57"/>
      <c r="M36" s="57"/>
      <c r="N36" s="57"/>
      <c r="O36" s="57"/>
      <c r="P36" s="57"/>
      <c r="Q36" s="57"/>
      <c r="R36" s="57"/>
      <c r="S36" s="57"/>
    </row>
    <row r="37" spans="1:19" x14ac:dyDescent="0.2">
      <c r="A37" s="41"/>
      <c r="B37" s="41"/>
      <c r="C37" s="41"/>
      <c r="D37" s="41"/>
      <c r="E37" s="41"/>
      <c r="F37" s="67"/>
      <c r="G37" s="64"/>
      <c r="H37" s="64"/>
      <c r="I37" s="64"/>
      <c r="J37" s="64"/>
    </row>
    <row r="38" spans="1:19" x14ac:dyDescent="0.2">
      <c r="A38" s="41"/>
      <c r="B38" s="41"/>
      <c r="C38" s="41"/>
      <c r="D38" s="41"/>
      <c r="E38" s="41"/>
      <c r="F38" s="68"/>
      <c r="G38" s="52"/>
      <c r="H38" s="52"/>
      <c r="I38" s="52"/>
      <c r="J38" s="52"/>
    </row>
    <row r="39" spans="1:19" x14ac:dyDescent="0.2">
      <c r="A39" s="41"/>
      <c r="B39" s="41"/>
      <c r="C39" s="41"/>
      <c r="D39" s="41"/>
      <c r="E39" s="41"/>
      <c r="F39" s="67"/>
      <c r="G39" s="52"/>
      <c r="H39" s="52"/>
      <c r="I39" s="52"/>
      <c r="J39" s="52"/>
    </row>
    <row r="40" spans="1:19" x14ac:dyDescent="0.2">
      <c r="A40" s="41"/>
      <c r="B40" s="41"/>
      <c r="C40" s="41"/>
      <c r="D40" s="41"/>
      <c r="E40" s="41"/>
      <c r="F40" s="67"/>
    </row>
    <row r="41" spans="1:19" x14ac:dyDescent="0.2">
      <c r="A41" s="41"/>
      <c r="B41" s="41"/>
      <c r="C41" s="41"/>
      <c r="D41" s="41"/>
      <c r="E41" s="41"/>
      <c r="F41" s="67"/>
    </row>
    <row r="42" spans="1:19" x14ac:dyDescent="0.2">
      <c r="A42" s="41"/>
      <c r="B42" s="41"/>
      <c r="C42" s="41"/>
      <c r="D42" s="41"/>
      <c r="E42" s="41"/>
      <c r="F42" s="67"/>
    </row>
    <row r="43" spans="1:19" x14ac:dyDescent="0.2">
      <c r="A43" s="40"/>
      <c r="B43" s="40"/>
      <c r="C43" s="41"/>
      <c r="D43" s="41"/>
      <c r="E43" s="41"/>
      <c r="F43" s="67"/>
    </row>
    <row r="44" spans="1:19" x14ac:dyDescent="0.2">
      <c r="A44" s="41"/>
      <c r="B44" s="41"/>
      <c r="C44" s="41"/>
      <c r="D44" s="41"/>
      <c r="E44" s="41"/>
      <c r="F44" s="67"/>
    </row>
    <row r="45" spans="1:19" x14ac:dyDescent="0.2">
      <c r="A45" s="40"/>
      <c r="B45" s="40"/>
      <c r="C45" s="41"/>
      <c r="D45" s="41"/>
      <c r="E45" s="41"/>
      <c r="F45" s="67"/>
    </row>
    <row r="46" spans="1:19" x14ac:dyDescent="0.2">
      <c r="A46" s="41"/>
      <c r="B46" s="41"/>
      <c r="C46" s="41"/>
      <c r="D46" s="41"/>
      <c r="E46" s="41"/>
      <c r="F46" s="67"/>
    </row>
    <row r="47" spans="1:19" x14ac:dyDescent="0.2">
      <c r="A47" s="41"/>
      <c r="B47" s="41"/>
      <c r="C47" s="41"/>
      <c r="D47" s="41"/>
      <c r="E47" s="41"/>
      <c r="F47" s="67"/>
    </row>
    <row r="48" spans="1:19" x14ac:dyDescent="0.2">
      <c r="A48" s="41"/>
      <c r="B48" s="40"/>
      <c r="C48" s="41"/>
      <c r="D48" s="41"/>
      <c r="E48" s="41"/>
      <c r="F48" s="67"/>
    </row>
    <row r="49" spans="1:6" x14ac:dyDescent="0.2">
      <c r="A49" s="41"/>
      <c r="B49" s="41"/>
      <c r="C49" s="41"/>
      <c r="D49" s="41"/>
      <c r="E49" s="41"/>
      <c r="F49" s="67"/>
    </row>
    <row r="50" spans="1:6" x14ac:dyDescent="0.2">
      <c r="A50" s="41"/>
      <c r="B50" s="41"/>
      <c r="C50" s="41"/>
      <c r="D50" s="41"/>
      <c r="E50" s="41"/>
      <c r="F50" s="67"/>
    </row>
    <row r="51" spans="1:6" x14ac:dyDescent="0.2">
      <c r="A51" s="41"/>
      <c r="B51" s="41"/>
      <c r="C51" s="41"/>
      <c r="D51" s="41"/>
      <c r="E51" s="41"/>
      <c r="F51" s="41"/>
    </row>
    <row r="52" spans="1:6" x14ac:dyDescent="0.2">
      <c r="A52" s="41"/>
      <c r="B52" s="41"/>
      <c r="C52" s="41"/>
      <c r="D52" s="41"/>
      <c r="E52" s="41"/>
      <c r="F52" s="41"/>
    </row>
    <row r="53" spans="1:6" x14ac:dyDescent="0.2">
      <c r="A53" s="41"/>
      <c r="B53" s="41"/>
      <c r="C53" s="41"/>
      <c r="D53" s="41"/>
      <c r="E53" s="41"/>
      <c r="F53" s="41"/>
    </row>
    <row r="54" spans="1:6" x14ac:dyDescent="0.2">
      <c r="A54" s="41"/>
      <c r="B54" s="41"/>
      <c r="C54" s="41"/>
      <c r="D54" s="41"/>
      <c r="E54" s="41"/>
      <c r="F54" s="41"/>
    </row>
    <row r="55" spans="1:6" x14ac:dyDescent="0.2">
      <c r="A55" s="41"/>
      <c r="B55" s="41"/>
      <c r="C55" s="41"/>
      <c r="D55" s="41"/>
      <c r="E55" s="41"/>
      <c r="F55" s="41"/>
    </row>
    <row r="56" spans="1:6" x14ac:dyDescent="0.2">
      <c r="A56" s="41"/>
      <c r="B56" s="41"/>
      <c r="C56" s="41"/>
      <c r="D56" s="41"/>
      <c r="E56" s="41"/>
      <c r="F56" s="41"/>
    </row>
    <row r="57" spans="1:6" x14ac:dyDescent="0.2">
      <c r="A57" s="41"/>
      <c r="B57" s="41"/>
      <c r="C57" s="41"/>
      <c r="D57" s="41"/>
      <c r="E57" s="41"/>
      <c r="F57" s="41"/>
    </row>
    <row r="58" spans="1:6" x14ac:dyDescent="0.2">
      <c r="A58" s="41"/>
      <c r="B58" s="41"/>
      <c r="C58" s="41"/>
      <c r="D58" s="41"/>
      <c r="E58" s="41"/>
      <c r="F58" s="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62-F945-4989-8BEB-3F4B7A371872}">
  <dimension ref="A1:T46"/>
  <sheetViews>
    <sheetView topLeftCell="A4" workbookViewId="0">
      <selection activeCell="P26" sqref="P26"/>
    </sheetView>
  </sheetViews>
  <sheetFormatPr defaultColWidth="1.42578125" defaultRowHeight="12.75" x14ac:dyDescent="0.2"/>
  <cols>
    <col min="1" max="5" width="1.42578125" style="12"/>
    <col min="6" max="6" width="1.28515625" style="12" customWidth="1"/>
    <col min="7" max="7" width="51.140625" style="12" customWidth="1"/>
    <col min="8" max="11" width="12.7109375" style="12" customWidth="1"/>
    <col min="12" max="12" width="18.85546875" style="12" bestFit="1" customWidth="1"/>
    <col min="13" max="16" width="17.42578125" style="12" customWidth="1"/>
    <col min="17" max="17" width="18.85546875" style="12" customWidth="1"/>
    <col min="18" max="19" width="17.42578125" style="12" customWidth="1"/>
    <col min="20" max="20" width="18.85546875" style="12" customWidth="1"/>
    <col min="21" max="216" width="9.140625" style="12" customWidth="1"/>
    <col min="217" max="16384" width="1.42578125" style="12"/>
  </cols>
  <sheetData>
    <row r="1" spans="1:20" ht="15.75" x14ac:dyDescent="0.25">
      <c r="A1" s="10" t="s">
        <v>3</v>
      </c>
      <c r="B1" s="36"/>
      <c r="C1" s="36"/>
      <c r="D1" s="36"/>
      <c r="E1" s="36"/>
      <c r="F1" s="36"/>
    </row>
    <row r="2" spans="1:20" ht="15.75" x14ac:dyDescent="0.25">
      <c r="A2" s="10" t="s">
        <v>60</v>
      </c>
      <c r="B2" s="36"/>
      <c r="C2" s="36"/>
      <c r="D2" s="36"/>
      <c r="E2" s="36"/>
      <c r="F2" s="36"/>
    </row>
    <row r="3" spans="1:20" x14ac:dyDescent="0.2">
      <c r="A3" s="69" t="s">
        <v>5</v>
      </c>
      <c r="B3" s="36"/>
      <c r="C3" s="36"/>
      <c r="D3" s="36"/>
      <c r="E3" s="36"/>
      <c r="F3" s="36"/>
    </row>
    <row r="4" spans="1:20" x14ac:dyDescent="0.2">
      <c r="A4" s="69" t="s">
        <v>31</v>
      </c>
      <c r="B4" s="13"/>
      <c r="C4" s="13"/>
      <c r="D4" s="13"/>
      <c r="E4" s="13"/>
      <c r="F4" s="13"/>
    </row>
    <row r="5" spans="1:20" x14ac:dyDescent="0.2">
      <c r="A5" s="69"/>
      <c r="B5" s="13"/>
      <c r="C5" s="13"/>
      <c r="D5" s="13"/>
      <c r="E5" s="13"/>
      <c r="F5" s="13"/>
      <c r="H5" s="70" t="s">
        <v>7</v>
      </c>
      <c r="I5" s="70"/>
      <c r="J5" s="70"/>
      <c r="K5" s="70"/>
      <c r="L5" s="71" t="s">
        <v>8</v>
      </c>
      <c r="M5" s="70" t="s">
        <v>7</v>
      </c>
      <c r="N5" s="70"/>
      <c r="O5" s="70"/>
      <c r="P5" s="70"/>
      <c r="Q5" s="71" t="s">
        <v>8</v>
      </c>
      <c r="R5" s="72" t="s">
        <v>7</v>
      </c>
      <c r="S5" s="72"/>
      <c r="T5" s="71" t="s">
        <v>9</v>
      </c>
    </row>
    <row r="6" spans="1:20" x14ac:dyDescent="0.2">
      <c r="A6" s="73"/>
      <c r="B6" s="13"/>
      <c r="C6" s="13"/>
      <c r="D6" s="13"/>
      <c r="E6" s="13"/>
      <c r="F6" s="13"/>
      <c r="H6" s="16" t="s">
        <v>10</v>
      </c>
      <c r="I6" s="16" t="s">
        <v>11</v>
      </c>
      <c r="J6" s="16" t="s">
        <v>61</v>
      </c>
      <c r="K6" s="16" t="s">
        <v>13</v>
      </c>
      <c r="L6" s="17" t="s">
        <v>13</v>
      </c>
      <c r="M6" s="16" t="s">
        <v>10</v>
      </c>
      <c r="N6" s="16" t="s">
        <v>11</v>
      </c>
      <c r="O6" s="16" t="s">
        <v>61</v>
      </c>
      <c r="P6" s="16" t="s">
        <v>13</v>
      </c>
      <c r="Q6" s="17" t="s">
        <v>13</v>
      </c>
      <c r="R6" s="16" t="s">
        <v>10</v>
      </c>
      <c r="S6" s="16" t="s">
        <v>11</v>
      </c>
      <c r="T6" s="17" t="s">
        <v>11</v>
      </c>
    </row>
    <row r="7" spans="1:20" x14ac:dyDescent="0.2">
      <c r="A7" s="73"/>
      <c r="B7" s="13"/>
      <c r="C7" s="13"/>
      <c r="D7" s="13"/>
      <c r="E7" s="13"/>
      <c r="F7" s="13"/>
      <c r="H7" s="18">
        <v>2018</v>
      </c>
      <c r="I7" s="18">
        <v>2018</v>
      </c>
      <c r="J7" s="18">
        <v>2018</v>
      </c>
      <c r="K7" s="18">
        <v>2018</v>
      </c>
      <c r="L7" s="74">
        <v>2018</v>
      </c>
      <c r="M7" s="18">
        <v>2019</v>
      </c>
      <c r="N7" s="18">
        <v>2019</v>
      </c>
      <c r="O7" s="18">
        <v>2019</v>
      </c>
      <c r="P7" s="18">
        <v>2019</v>
      </c>
      <c r="Q7" s="74">
        <v>2019</v>
      </c>
      <c r="R7" s="18">
        <v>2020</v>
      </c>
      <c r="S7" s="18">
        <v>2020</v>
      </c>
      <c r="T7" s="74">
        <v>2020</v>
      </c>
    </row>
    <row r="8" spans="1:20" x14ac:dyDescent="0.2">
      <c r="A8" s="75" t="s">
        <v>62</v>
      </c>
      <c r="B8" s="40"/>
      <c r="C8" s="40"/>
      <c r="D8" s="40"/>
      <c r="E8" s="41"/>
      <c r="F8" s="41"/>
      <c r="L8" s="21"/>
      <c r="Q8" s="21"/>
      <c r="T8" s="21"/>
    </row>
    <row r="9" spans="1:20" x14ac:dyDescent="0.2">
      <c r="A9" s="51"/>
      <c r="B9" s="41" t="s">
        <v>25</v>
      </c>
      <c r="C9" s="41"/>
      <c r="D9" s="41"/>
      <c r="E9" s="41"/>
      <c r="F9" s="41"/>
      <c r="H9" s="76">
        <v>290124</v>
      </c>
      <c r="I9" s="76">
        <v>384349</v>
      </c>
      <c r="J9" s="76">
        <v>402835</v>
      </c>
      <c r="K9" s="76">
        <v>133934</v>
      </c>
      <c r="L9" s="77">
        <f>SUM(H9:K9)</f>
        <v>1211242</v>
      </c>
      <c r="M9" s="76">
        <v>344052</v>
      </c>
      <c r="N9" s="76">
        <v>270650</v>
      </c>
      <c r="O9" s="76">
        <v>665244</v>
      </c>
      <c r="P9" s="76">
        <v>586970</v>
      </c>
      <c r="Q9" s="77">
        <f>SUM(M9:P9)</f>
        <v>1866916</v>
      </c>
      <c r="R9" s="76">
        <v>709067</v>
      </c>
      <c r="S9" s="76">
        <v>720196</v>
      </c>
      <c r="T9" s="77">
        <f>SUM(R9:S9)</f>
        <v>1429263</v>
      </c>
    </row>
    <row r="10" spans="1:20" x14ac:dyDescent="0.2">
      <c r="A10" s="73"/>
      <c r="B10" s="41" t="s">
        <v>63</v>
      </c>
      <c r="C10" s="41"/>
      <c r="D10" s="41"/>
      <c r="E10" s="41"/>
      <c r="F10" s="41"/>
      <c r="H10" s="78"/>
      <c r="I10" s="78"/>
      <c r="J10" s="78"/>
      <c r="K10" s="78"/>
      <c r="L10" s="79"/>
      <c r="M10" s="78"/>
      <c r="N10" s="78"/>
      <c r="O10" s="78"/>
      <c r="P10" s="78"/>
      <c r="Q10" s="79"/>
      <c r="R10" s="78"/>
      <c r="S10" s="78"/>
      <c r="T10" s="79"/>
    </row>
    <row r="11" spans="1:20" x14ac:dyDescent="0.2">
      <c r="A11" s="73"/>
      <c r="B11" s="41"/>
      <c r="C11" s="41" t="s">
        <v>64</v>
      </c>
      <c r="D11" s="41"/>
      <c r="E11" s="41"/>
      <c r="F11" s="41"/>
      <c r="H11" s="78"/>
      <c r="I11" s="78"/>
      <c r="J11" s="78"/>
      <c r="K11" s="78"/>
      <c r="L11" s="79"/>
      <c r="M11" s="78"/>
      <c r="N11" s="78"/>
      <c r="O11" s="78"/>
      <c r="P11" s="78"/>
      <c r="Q11" s="79"/>
      <c r="R11" s="78"/>
      <c r="S11" s="78"/>
      <c r="T11" s="79"/>
    </row>
    <row r="12" spans="1:20" x14ac:dyDescent="0.2">
      <c r="A12" s="73"/>
      <c r="B12" s="41"/>
      <c r="C12" s="41"/>
      <c r="D12" s="41" t="s">
        <v>65</v>
      </c>
      <c r="E12" s="41"/>
      <c r="F12" s="41"/>
      <c r="H12" s="78">
        <v>-2986747</v>
      </c>
      <c r="I12" s="78">
        <v>-3033721</v>
      </c>
      <c r="J12" s="78">
        <v>-3238717</v>
      </c>
      <c r="K12" s="78">
        <v>-3784252</v>
      </c>
      <c r="L12" s="79">
        <f t="shared" ref="L12:L19" si="0">SUM(H12:K12)</f>
        <v>-13043437</v>
      </c>
      <c r="M12" s="78">
        <v>-2997746</v>
      </c>
      <c r="N12" s="78">
        <v>-3325103</v>
      </c>
      <c r="O12" s="78">
        <v>-3648292</v>
      </c>
      <c r="P12" s="78">
        <v>-3945542</v>
      </c>
      <c r="Q12" s="79">
        <f t="shared" ref="Q12:Q19" si="1">SUM(M12:P12)</f>
        <v>-13916683</v>
      </c>
      <c r="R12" s="78">
        <v>-3294275</v>
      </c>
      <c r="S12" s="78">
        <v>-2510782</v>
      </c>
      <c r="T12" s="79">
        <f t="shared" ref="T12:T19" si="2">SUM(R12:S12)</f>
        <v>-5805057</v>
      </c>
    </row>
    <row r="13" spans="1:20" x14ac:dyDescent="0.2">
      <c r="A13" s="73"/>
      <c r="B13" s="41"/>
      <c r="C13" s="41"/>
      <c r="D13" s="41" t="s">
        <v>66</v>
      </c>
      <c r="E13" s="41"/>
      <c r="F13" s="41"/>
      <c r="H13" s="78">
        <v>378885</v>
      </c>
      <c r="I13" s="78">
        <v>288474</v>
      </c>
      <c r="J13" s="78">
        <v>65868</v>
      </c>
      <c r="K13" s="78">
        <v>266653</v>
      </c>
      <c r="L13" s="79">
        <f t="shared" si="0"/>
        <v>999880</v>
      </c>
      <c r="M13" s="78">
        <v>-14698</v>
      </c>
      <c r="N13" s="78">
        <v>-12414</v>
      </c>
      <c r="O13" s="78">
        <v>-95548</v>
      </c>
      <c r="P13" s="78">
        <v>-571351</v>
      </c>
      <c r="Q13" s="79">
        <f t="shared" si="1"/>
        <v>-694011</v>
      </c>
      <c r="R13" s="78">
        <v>258945</v>
      </c>
      <c r="S13" s="78">
        <v>-108432</v>
      </c>
      <c r="T13" s="79">
        <f t="shared" si="2"/>
        <v>150513</v>
      </c>
    </row>
    <row r="14" spans="1:20" x14ac:dyDescent="0.2">
      <c r="A14" s="73"/>
      <c r="B14" s="41"/>
      <c r="C14" s="41"/>
      <c r="D14" s="41" t="s">
        <v>67</v>
      </c>
      <c r="E14" s="41"/>
      <c r="F14" s="41"/>
      <c r="H14" s="78">
        <v>1748844</v>
      </c>
      <c r="I14" s="78">
        <v>1817817</v>
      </c>
      <c r="J14" s="78">
        <v>1911767</v>
      </c>
      <c r="K14" s="78">
        <v>2053660</v>
      </c>
      <c r="L14" s="79">
        <f t="shared" si="0"/>
        <v>7532088</v>
      </c>
      <c r="M14" s="78">
        <v>2124686</v>
      </c>
      <c r="N14" s="78">
        <v>2231915</v>
      </c>
      <c r="O14" s="78">
        <v>2279977</v>
      </c>
      <c r="P14" s="78">
        <v>2579669</v>
      </c>
      <c r="Q14" s="79">
        <f t="shared" si="1"/>
        <v>9216247</v>
      </c>
      <c r="R14" s="78">
        <v>2483385</v>
      </c>
      <c r="S14" s="78">
        <v>2607159</v>
      </c>
      <c r="T14" s="79">
        <f t="shared" si="2"/>
        <v>5090544</v>
      </c>
    </row>
    <row r="15" spans="1:20" x14ac:dyDescent="0.2">
      <c r="A15" s="73"/>
      <c r="B15" s="41"/>
      <c r="C15" s="41"/>
      <c r="D15" s="41" t="s">
        <v>68</v>
      </c>
      <c r="E15" s="41"/>
      <c r="F15" s="41"/>
      <c r="H15" s="78">
        <v>19041</v>
      </c>
      <c r="I15" s="78">
        <v>19736</v>
      </c>
      <c r="J15" s="78">
        <v>21161</v>
      </c>
      <c r="K15" s="78">
        <v>23219</v>
      </c>
      <c r="L15" s="79">
        <f t="shared" si="0"/>
        <v>83157</v>
      </c>
      <c r="M15" s="78">
        <v>23561</v>
      </c>
      <c r="N15" s="78">
        <v>25496</v>
      </c>
      <c r="O15" s="78">
        <v>26704</v>
      </c>
      <c r="P15" s="78">
        <v>27818</v>
      </c>
      <c r="Q15" s="79">
        <f t="shared" si="1"/>
        <v>103579</v>
      </c>
      <c r="R15" s="78">
        <v>28517</v>
      </c>
      <c r="S15" s="78">
        <v>26661</v>
      </c>
      <c r="T15" s="79">
        <f t="shared" si="2"/>
        <v>55178</v>
      </c>
    </row>
    <row r="16" spans="1:20" x14ac:dyDescent="0.2">
      <c r="A16" s="69"/>
      <c r="B16" s="41"/>
      <c r="C16" s="41"/>
      <c r="D16" s="41" t="s">
        <v>69</v>
      </c>
      <c r="E16" s="41"/>
      <c r="F16" s="41"/>
      <c r="H16" s="78">
        <v>68395</v>
      </c>
      <c r="I16" s="78">
        <v>81232</v>
      </c>
      <c r="J16" s="78">
        <v>82316</v>
      </c>
      <c r="K16" s="78">
        <v>88714</v>
      </c>
      <c r="L16" s="79">
        <f t="shared" si="0"/>
        <v>320657</v>
      </c>
      <c r="M16" s="78">
        <v>101200</v>
      </c>
      <c r="N16" s="78">
        <v>103848</v>
      </c>
      <c r="O16" s="78">
        <v>100262</v>
      </c>
      <c r="P16" s="78">
        <v>100066</v>
      </c>
      <c r="Q16" s="79">
        <f t="shared" si="1"/>
        <v>405376</v>
      </c>
      <c r="R16" s="78">
        <v>97019</v>
      </c>
      <c r="S16" s="78">
        <v>104210</v>
      </c>
      <c r="T16" s="79">
        <f t="shared" si="2"/>
        <v>201229</v>
      </c>
    </row>
    <row r="17" spans="1:20" x14ac:dyDescent="0.2">
      <c r="A17" s="51"/>
      <c r="B17" s="41"/>
      <c r="C17" s="41"/>
      <c r="D17" s="41" t="s">
        <v>70</v>
      </c>
      <c r="E17" s="41"/>
      <c r="F17" s="41"/>
      <c r="H17" s="78">
        <v>19343</v>
      </c>
      <c r="I17" s="78">
        <v>25075</v>
      </c>
      <c r="J17" s="78">
        <v>18921</v>
      </c>
      <c r="K17" s="78">
        <v>18301</v>
      </c>
      <c r="L17" s="79">
        <f t="shared" si="0"/>
        <v>81640</v>
      </c>
      <c r="M17" s="78">
        <v>45708</v>
      </c>
      <c r="N17" s="78">
        <v>60695</v>
      </c>
      <c r="O17" s="78">
        <v>57934</v>
      </c>
      <c r="P17" s="78">
        <v>63893</v>
      </c>
      <c r="Q17" s="79">
        <f>SUM(M17:P17)</f>
        <v>228230</v>
      </c>
      <c r="R17" s="78">
        <v>65448</v>
      </c>
      <c r="S17" s="78">
        <v>70301</v>
      </c>
      <c r="T17" s="79">
        <f t="shared" si="2"/>
        <v>135749</v>
      </c>
    </row>
    <row r="18" spans="1:20" x14ac:dyDescent="0.2">
      <c r="A18" s="51"/>
      <c r="B18" s="41"/>
      <c r="C18" s="41"/>
      <c r="D18" s="41" t="s">
        <v>71</v>
      </c>
      <c r="E18" s="41"/>
      <c r="F18" s="41"/>
      <c r="H18" s="78">
        <v>41080</v>
      </c>
      <c r="I18" s="78">
        <v>-85410</v>
      </c>
      <c r="J18" s="78">
        <v>-7670</v>
      </c>
      <c r="K18" s="78">
        <v>-21953</v>
      </c>
      <c r="L18" s="79">
        <f t="shared" si="0"/>
        <v>-73953</v>
      </c>
      <c r="M18" s="78">
        <v>-57600</v>
      </c>
      <c r="N18" s="78">
        <v>61284</v>
      </c>
      <c r="O18" s="78">
        <v>-171360</v>
      </c>
      <c r="P18" s="78">
        <v>122100</v>
      </c>
      <c r="Q18" s="79">
        <f t="shared" si="1"/>
        <v>-45576</v>
      </c>
      <c r="R18" s="78">
        <v>-93060</v>
      </c>
      <c r="S18" s="78">
        <v>119161</v>
      </c>
      <c r="T18" s="79">
        <f t="shared" si="2"/>
        <v>26101</v>
      </c>
    </row>
    <row r="19" spans="1:20" x14ac:dyDescent="0.2">
      <c r="A19" s="51"/>
      <c r="B19" s="41"/>
      <c r="C19" s="41"/>
      <c r="D19" s="41" t="s">
        <v>72</v>
      </c>
      <c r="E19" s="41"/>
      <c r="F19" s="41"/>
      <c r="H19" s="78">
        <v>-22049</v>
      </c>
      <c r="I19" s="78">
        <v>-9539</v>
      </c>
      <c r="J19" s="78">
        <v>-39453</v>
      </c>
      <c r="K19" s="78">
        <v>-14479</v>
      </c>
      <c r="L19" s="79">
        <f t="shared" si="0"/>
        <v>-85520</v>
      </c>
      <c r="M19" s="78">
        <v>6627</v>
      </c>
      <c r="N19" s="78">
        <v>35519</v>
      </c>
      <c r="O19" s="78">
        <v>52105</v>
      </c>
      <c r="P19" s="78">
        <v>-188694</v>
      </c>
      <c r="Q19" s="79">
        <f t="shared" si="1"/>
        <v>-94443</v>
      </c>
      <c r="R19" s="78">
        <v>46619</v>
      </c>
      <c r="S19" s="78">
        <v>223308</v>
      </c>
      <c r="T19" s="79">
        <f t="shared" si="2"/>
        <v>269927</v>
      </c>
    </row>
    <row r="20" spans="1:20" x14ac:dyDescent="0.2">
      <c r="A20" s="69"/>
      <c r="B20" s="41"/>
      <c r="C20" s="41"/>
      <c r="D20" s="41" t="s">
        <v>73</v>
      </c>
      <c r="E20" s="41"/>
      <c r="F20" s="41"/>
      <c r="H20" s="78"/>
      <c r="I20" s="78"/>
      <c r="J20" s="78"/>
      <c r="K20" s="78"/>
      <c r="L20" s="79"/>
      <c r="M20" s="78"/>
      <c r="N20" s="78"/>
      <c r="O20" s="78"/>
      <c r="Q20" s="79"/>
      <c r="R20" s="78"/>
      <c r="S20" s="78"/>
      <c r="T20" s="79"/>
    </row>
    <row r="21" spans="1:20" x14ac:dyDescent="0.2">
      <c r="A21" s="73"/>
      <c r="B21" s="41"/>
      <c r="C21" s="41"/>
      <c r="D21" s="41"/>
      <c r="E21" s="41" t="s">
        <v>36</v>
      </c>
      <c r="F21" s="41"/>
      <c r="H21" s="78">
        <v>-55905</v>
      </c>
      <c r="I21" s="78">
        <v>-25564</v>
      </c>
      <c r="J21" s="78">
        <v>-30364</v>
      </c>
      <c r="K21" s="78">
        <v>-88359</v>
      </c>
      <c r="L21" s="79">
        <f>SUM(H21:K21)</f>
        <v>-200192</v>
      </c>
      <c r="M21" s="78">
        <v>-32076</v>
      </c>
      <c r="N21" s="78">
        <v>-24231</v>
      </c>
      <c r="O21" s="78">
        <v>145</v>
      </c>
      <c r="P21" s="78">
        <v>-195951</v>
      </c>
      <c r="Q21" s="79">
        <f>SUM(M21:P21)</f>
        <v>-252113</v>
      </c>
      <c r="R21" s="78">
        <v>-127353</v>
      </c>
      <c r="S21" s="78">
        <v>3066</v>
      </c>
      <c r="T21" s="79">
        <f t="shared" ref="T21:T25" si="3">SUM(R21:S21)</f>
        <v>-124287</v>
      </c>
    </row>
    <row r="22" spans="1:20" x14ac:dyDescent="0.2">
      <c r="A22" s="69"/>
      <c r="B22" s="41"/>
      <c r="C22" s="41"/>
      <c r="D22" s="41"/>
      <c r="E22" s="41" t="s">
        <v>45</v>
      </c>
      <c r="F22" s="41"/>
      <c r="H22" s="78">
        <v>74083</v>
      </c>
      <c r="I22" s="78">
        <v>7733</v>
      </c>
      <c r="J22" s="78">
        <v>-4449</v>
      </c>
      <c r="K22" s="78">
        <v>121831</v>
      </c>
      <c r="L22" s="79">
        <f>SUM(H22:K22)</f>
        <v>199198</v>
      </c>
      <c r="M22" s="78">
        <v>-124467</v>
      </c>
      <c r="N22" s="78">
        <v>-2674</v>
      </c>
      <c r="O22" s="78">
        <v>-7643</v>
      </c>
      <c r="P22" s="78">
        <v>230847</v>
      </c>
      <c r="Q22" s="79">
        <f>SUM(M22:P22)</f>
        <v>96063</v>
      </c>
      <c r="R22" s="78">
        <v>-149153</v>
      </c>
      <c r="S22" s="78">
        <v>-112027</v>
      </c>
      <c r="T22" s="79">
        <f t="shared" si="3"/>
        <v>-261180</v>
      </c>
    </row>
    <row r="23" spans="1:20" x14ac:dyDescent="0.2">
      <c r="A23" s="69"/>
      <c r="B23" s="41"/>
      <c r="C23" s="41"/>
      <c r="D23" s="41"/>
      <c r="E23" s="41" t="s">
        <v>46</v>
      </c>
      <c r="F23" s="41"/>
      <c r="H23" s="78">
        <v>119049</v>
      </c>
      <c r="I23" s="78">
        <v>-52851</v>
      </c>
      <c r="J23" s="78">
        <v>134000</v>
      </c>
      <c r="K23" s="78">
        <v>-49776</v>
      </c>
      <c r="L23" s="79">
        <f>SUM(H23:K23)</f>
        <v>150422</v>
      </c>
      <c r="M23" s="78">
        <v>157647</v>
      </c>
      <c r="N23" s="78">
        <v>-26705</v>
      </c>
      <c r="O23" s="78">
        <v>260872</v>
      </c>
      <c r="P23" s="78">
        <v>-234036</v>
      </c>
      <c r="Q23" s="79">
        <f>SUM(M23:P23)</f>
        <v>157778</v>
      </c>
      <c r="R23" s="78">
        <v>214191</v>
      </c>
      <c r="S23" s="78">
        <v>-105450</v>
      </c>
      <c r="T23" s="79">
        <f t="shared" si="3"/>
        <v>108741</v>
      </c>
    </row>
    <row r="24" spans="1:20" x14ac:dyDescent="0.2">
      <c r="A24" s="73"/>
      <c r="B24" s="41"/>
      <c r="C24" s="41"/>
      <c r="D24" s="41"/>
      <c r="E24" s="41" t="s">
        <v>47</v>
      </c>
      <c r="F24" s="41"/>
      <c r="H24" s="78">
        <v>55270</v>
      </c>
      <c r="I24" s="78">
        <v>23848</v>
      </c>
      <c r="J24" s="78">
        <v>18983</v>
      </c>
      <c r="K24" s="78">
        <v>44176</v>
      </c>
      <c r="L24" s="79">
        <f>SUM(H24:K24)</f>
        <v>142277</v>
      </c>
      <c r="M24" s="78">
        <v>47793</v>
      </c>
      <c r="N24" s="78">
        <v>84085</v>
      </c>
      <c r="O24" s="78">
        <v>22729</v>
      </c>
      <c r="P24" s="78">
        <v>9239</v>
      </c>
      <c r="Q24" s="79">
        <f>SUM(M24:P24)</f>
        <v>163846</v>
      </c>
      <c r="R24" s="78">
        <v>62008</v>
      </c>
      <c r="S24" s="78">
        <v>42508</v>
      </c>
      <c r="T24" s="79">
        <f t="shared" si="3"/>
        <v>104516</v>
      </c>
    </row>
    <row r="25" spans="1:20" x14ac:dyDescent="0.2">
      <c r="A25" s="69"/>
      <c r="B25" s="41"/>
      <c r="C25" s="41"/>
      <c r="D25" s="41"/>
      <c r="E25" s="41" t="s">
        <v>74</v>
      </c>
      <c r="F25" s="41"/>
      <c r="H25" s="80">
        <v>13830</v>
      </c>
      <c r="I25" s="80">
        <v>40582</v>
      </c>
      <c r="J25" s="69">
        <v>-25609</v>
      </c>
      <c r="K25" s="69">
        <v>-26741</v>
      </c>
      <c r="L25" s="79">
        <f>SUM(H25:K25)</f>
        <v>2062</v>
      </c>
      <c r="M25" s="80">
        <v>-4486</v>
      </c>
      <c r="N25" s="80">
        <v>-26119</v>
      </c>
      <c r="O25" s="69">
        <v>-44923</v>
      </c>
      <c r="P25" s="69">
        <v>-47003</v>
      </c>
      <c r="Q25" s="79">
        <f>SUM(M25:P25)</f>
        <v>-122531</v>
      </c>
      <c r="R25" s="80">
        <v>-41446</v>
      </c>
      <c r="S25" s="80">
        <v>-38803</v>
      </c>
      <c r="T25" s="79">
        <f t="shared" si="3"/>
        <v>-80249</v>
      </c>
    </row>
    <row r="26" spans="1:20" x14ac:dyDescent="0.2">
      <c r="A26" s="51"/>
      <c r="B26" s="41"/>
      <c r="C26" s="41"/>
      <c r="D26" s="41"/>
      <c r="E26" s="41"/>
      <c r="F26" s="41"/>
      <c r="G26" s="41" t="s">
        <v>75</v>
      </c>
      <c r="H26" s="80">
        <f t="shared" ref="H26:T26" si="4">SUM(H9:H25)</f>
        <v>-236757</v>
      </c>
      <c r="I26" s="80">
        <f t="shared" si="4"/>
        <v>-518239</v>
      </c>
      <c r="J26" s="81">
        <f t="shared" si="4"/>
        <v>-690411</v>
      </c>
      <c r="K26" s="81">
        <f t="shared" si="4"/>
        <v>-1235072</v>
      </c>
      <c r="L26" s="82">
        <f t="shared" si="4"/>
        <v>-2680479</v>
      </c>
      <c r="M26" s="80">
        <f t="shared" si="4"/>
        <v>-379799</v>
      </c>
      <c r="N26" s="80">
        <f t="shared" si="4"/>
        <v>-543754</v>
      </c>
      <c r="O26" s="81">
        <f t="shared" si="4"/>
        <v>-501794</v>
      </c>
      <c r="P26" s="81">
        <f t="shared" si="4"/>
        <v>-1461975</v>
      </c>
      <c r="Q26" s="82">
        <f t="shared" si="4"/>
        <v>-2887322</v>
      </c>
      <c r="R26" s="81">
        <f t="shared" si="4"/>
        <v>259912</v>
      </c>
      <c r="S26" s="81">
        <f t="shared" si="4"/>
        <v>1041076</v>
      </c>
      <c r="T26" s="82">
        <f t="shared" si="4"/>
        <v>1300988</v>
      </c>
    </row>
    <row r="27" spans="1:20" x14ac:dyDescent="0.2">
      <c r="A27" s="83" t="s">
        <v>76</v>
      </c>
      <c r="B27" s="40"/>
      <c r="C27" s="41"/>
      <c r="D27" s="41"/>
      <c r="E27" s="41"/>
      <c r="F27" s="41"/>
      <c r="L27" s="79"/>
      <c r="Q27" s="79"/>
      <c r="T27" s="79"/>
    </row>
    <row r="28" spans="1:20" x14ac:dyDescent="0.2">
      <c r="A28" s="73"/>
      <c r="B28" s="41" t="s">
        <v>77</v>
      </c>
      <c r="C28" s="41"/>
      <c r="D28" s="41"/>
      <c r="E28" s="41"/>
      <c r="F28" s="41"/>
      <c r="H28" s="78">
        <v>-37170</v>
      </c>
      <c r="I28" s="78">
        <v>-27323</v>
      </c>
      <c r="J28" s="78">
        <v>-39333</v>
      </c>
      <c r="K28" s="78">
        <v>-70120</v>
      </c>
      <c r="L28" s="79">
        <f t="shared" ref="L28:L29" si="5">SUM(H28:K28)</f>
        <v>-173946</v>
      </c>
      <c r="M28" s="78">
        <v>-60381</v>
      </c>
      <c r="N28" s="78">
        <v>-39584</v>
      </c>
      <c r="O28" s="78">
        <v>-45333</v>
      </c>
      <c r="P28" s="78">
        <v>-107737</v>
      </c>
      <c r="Q28" s="79">
        <f t="shared" ref="Q28:Q29" si="6">SUM(M28:P28)</f>
        <v>-253035</v>
      </c>
      <c r="R28" s="78">
        <v>-98015</v>
      </c>
      <c r="S28" s="78">
        <v>-141741</v>
      </c>
      <c r="T28" s="79">
        <f t="shared" ref="T28:T29" si="7">SUM(R28:S28)</f>
        <v>-239756</v>
      </c>
    </row>
    <row r="29" spans="1:20" x14ac:dyDescent="0.2">
      <c r="A29" s="73"/>
      <c r="B29" s="41" t="s">
        <v>78</v>
      </c>
      <c r="C29" s="41"/>
      <c r="D29" s="41"/>
      <c r="E29" s="41"/>
      <c r="F29" s="41"/>
      <c r="H29" s="78">
        <v>-12582</v>
      </c>
      <c r="I29" s="78">
        <v>-12993</v>
      </c>
      <c r="J29" s="78">
        <v>-129361</v>
      </c>
      <c r="K29" s="78">
        <v>-10238</v>
      </c>
      <c r="L29" s="79">
        <f t="shared" si="5"/>
        <v>-165174</v>
      </c>
      <c r="M29" s="78">
        <v>-19722</v>
      </c>
      <c r="N29" s="78">
        <v>-10452</v>
      </c>
      <c r="O29" s="78">
        <v>-4021</v>
      </c>
      <c r="P29" s="78">
        <v>-99834</v>
      </c>
      <c r="Q29" s="79">
        <f t="shared" si="6"/>
        <v>-134029</v>
      </c>
      <c r="R29" s="78">
        <v>-288</v>
      </c>
      <c r="S29" s="78">
        <v>-260</v>
      </c>
      <c r="T29" s="79">
        <f t="shared" si="7"/>
        <v>-548</v>
      </c>
    </row>
    <row r="30" spans="1:20" x14ac:dyDescent="0.2">
      <c r="A30" s="69"/>
      <c r="B30" s="41"/>
      <c r="C30" s="41"/>
      <c r="D30" s="41"/>
      <c r="E30" s="41"/>
      <c r="F30" s="41"/>
      <c r="G30" s="41" t="s">
        <v>79</v>
      </c>
      <c r="H30" s="81">
        <f t="shared" ref="H30:T30" si="8">SUM(H28:H29)</f>
        <v>-49752</v>
      </c>
      <c r="I30" s="81">
        <f t="shared" si="8"/>
        <v>-40316</v>
      </c>
      <c r="J30" s="81">
        <f t="shared" si="8"/>
        <v>-168694</v>
      </c>
      <c r="K30" s="81">
        <f t="shared" si="8"/>
        <v>-80358</v>
      </c>
      <c r="L30" s="82">
        <f t="shared" si="8"/>
        <v>-339120</v>
      </c>
      <c r="M30" s="81">
        <f t="shared" si="8"/>
        <v>-80103</v>
      </c>
      <c r="N30" s="81">
        <f t="shared" si="8"/>
        <v>-50036</v>
      </c>
      <c r="O30" s="81">
        <f t="shared" si="8"/>
        <v>-49354</v>
      </c>
      <c r="P30" s="81">
        <f t="shared" si="8"/>
        <v>-207571</v>
      </c>
      <c r="Q30" s="82">
        <f t="shared" si="8"/>
        <v>-387064</v>
      </c>
      <c r="R30" s="81">
        <f t="shared" si="8"/>
        <v>-98303</v>
      </c>
      <c r="S30" s="81">
        <f t="shared" si="8"/>
        <v>-142001</v>
      </c>
      <c r="T30" s="82">
        <f t="shared" si="8"/>
        <v>-240304</v>
      </c>
    </row>
    <row r="31" spans="1:20" x14ac:dyDescent="0.2">
      <c r="A31" s="83" t="s">
        <v>80</v>
      </c>
      <c r="B31" s="41"/>
      <c r="C31" s="41"/>
      <c r="D31" s="41"/>
      <c r="E31" s="41"/>
      <c r="F31" s="41"/>
      <c r="L31" s="79"/>
      <c r="Q31" s="79"/>
      <c r="T31" s="79"/>
    </row>
    <row r="32" spans="1:20" x14ac:dyDescent="0.2">
      <c r="A32" s="51"/>
      <c r="B32" s="41" t="s">
        <v>81</v>
      </c>
      <c r="C32" s="41"/>
      <c r="D32" s="41"/>
      <c r="E32" s="41"/>
      <c r="F32" s="41"/>
      <c r="H32" s="78">
        <v>0</v>
      </c>
      <c r="I32" s="78">
        <v>1900000</v>
      </c>
      <c r="J32" s="78">
        <v>0</v>
      </c>
      <c r="K32" s="78">
        <v>2061852</v>
      </c>
      <c r="L32" s="79">
        <f>SUM(H32:K32)</f>
        <v>3961852</v>
      </c>
      <c r="M32" s="78">
        <v>0</v>
      </c>
      <c r="N32" s="78">
        <v>2243196</v>
      </c>
      <c r="O32" s="78">
        <v>0</v>
      </c>
      <c r="P32" s="78">
        <v>2226110</v>
      </c>
      <c r="Q32" s="79">
        <f>SUM(M32:P32)</f>
        <v>4469306</v>
      </c>
      <c r="R32" s="78">
        <v>0</v>
      </c>
      <c r="S32" s="78">
        <v>1009464</v>
      </c>
      <c r="T32" s="79">
        <f t="shared" ref="T32:T35" si="9">SUM(R32:S32)</f>
        <v>1009464</v>
      </c>
    </row>
    <row r="33" spans="1:20" x14ac:dyDescent="0.2">
      <c r="A33" s="51"/>
      <c r="B33" s="41" t="s">
        <v>82</v>
      </c>
      <c r="C33" s="41"/>
      <c r="D33" s="41"/>
      <c r="E33" s="41"/>
      <c r="F33" s="41"/>
      <c r="H33" s="78">
        <v>0</v>
      </c>
      <c r="I33" s="78">
        <v>-16992</v>
      </c>
      <c r="J33" s="78">
        <v>0</v>
      </c>
      <c r="K33" s="78">
        <v>-18879</v>
      </c>
      <c r="L33" s="79">
        <f>SUM(H33:K33)</f>
        <v>-35871</v>
      </c>
      <c r="M33" s="78">
        <v>0</v>
      </c>
      <c r="N33" s="78">
        <v>-18192</v>
      </c>
      <c r="O33" s="78">
        <v>0</v>
      </c>
      <c r="P33" s="78">
        <v>-17942</v>
      </c>
      <c r="Q33" s="79">
        <f>SUM(M33:P33)</f>
        <v>-36134</v>
      </c>
      <c r="R33" s="78">
        <v>0</v>
      </c>
      <c r="S33" s="78">
        <v>-7559</v>
      </c>
      <c r="T33" s="79">
        <f t="shared" si="9"/>
        <v>-7559</v>
      </c>
    </row>
    <row r="34" spans="1:20" x14ac:dyDescent="0.2">
      <c r="A34" s="51"/>
      <c r="B34" s="41" t="s">
        <v>83</v>
      </c>
      <c r="C34" s="41"/>
      <c r="D34" s="41"/>
      <c r="E34" s="41"/>
      <c r="F34" s="41"/>
      <c r="H34" s="78">
        <v>56335</v>
      </c>
      <c r="I34" s="78">
        <v>26936</v>
      </c>
      <c r="J34" s="78">
        <v>29781</v>
      </c>
      <c r="K34" s="78">
        <v>11450</v>
      </c>
      <c r="L34" s="79">
        <f>SUM(H34:K34)</f>
        <v>124502</v>
      </c>
      <c r="M34" s="78">
        <v>22972</v>
      </c>
      <c r="N34" s="78">
        <v>21896</v>
      </c>
      <c r="O34" s="78">
        <v>11989</v>
      </c>
      <c r="P34" s="78">
        <v>15633</v>
      </c>
      <c r="Q34" s="79">
        <f>SUM(M34:P34)</f>
        <v>72490</v>
      </c>
      <c r="R34" s="78">
        <v>43694</v>
      </c>
      <c r="S34" s="78">
        <v>89060</v>
      </c>
      <c r="T34" s="79">
        <f t="shared" si="9"/>
        <v>132754</v>
      </c>
    </row>
    <row r="35" spans="1:20" x14ac:dyDescent="0.2">
      <c r="A35" s="83"/>
      <c r="B35" s="41" t="s">
        <v>84</v>
      </c>
      <c r="C35" s="41"/>
      <c r="D35" s="41"/>
      <c r="E35" s="41"/>
      <c r="F35" s="41"/>
      <c r="H35" s="78">
        <v>-321</v>
      </c>
      <c r="I35" s="78">
        <v>-532</v>
      </c>
      <c r="J35" s="78">
        <v>-544</v>
      </c>
      <c r="K35" s="78">
        <v>-559</v>
      </c>
      <c r="L35" s="79">
        <f>SUM(H35:K35)</f>
        <v>-1956</v>
      </c>
      <c r="M35" s="78">
        <v>0</v>
      </c>
      <c r="N35" s="78">
        <v>0</v>
      </c>
      <c r="O35" s="78">
        <v>0</v>
      </c>
      <c r="P35" s="78">
        <v>0</v>
      </c>
      <c r="Q35" s="79">
        <f>SUM(M35:P35)</f>
        <v>0</v>
      </c>
      <c r="R35" s="78">
        <v>0</v>
      </c>
      <c r="S35" s="78">
        <v>0</v>
      </c>
      <c r="T35" s="79">
        <f t="shared" si="9"/>
        <v>0</v>
      </c>
    </row>
    <row r="36" spans="1:20" x14ac:dyDescent="0.2">
      <c r="A36" s="51"/>
      <c r="B36" s="41"/>
      <c r="C36" s="41"/>
      <c r="D36" s="41"/>
      <c r="E36" s="41"/>
      <c r="F36" s="41"/>
      <c r="G36" s="41" t="s">
        <v>85</v>
      </c>
      <c r="H36" s="81">
        <f t="shared" ref="H36:T36" si="10">SUM(H32:H35)</f>
        <v>56014</v>
      </c>
      <c r="I36" s="81">
        <f t="shared" si="10"/>
        <v>1909412</v>
      </c>
      <c r="J36" s="81">
        <f t="shared" si="10"/>
        <v>29237</v>
      </c>
      <c r="K36" s="81">
        <f t="shared" si="10"/>
        <v>2053864</v>
      </c>
      <c r="L36" s="82">
        <f t="shared" si="10"/>
        <v>4048527</v>
      </c>
      <c r="M36" s="81">
        <f t="shared" si="10"/>
        <v>22972</v>
      </c>
      <c r="N36" s="81">
        <f t="shared" si="10"/>
        <v>2246900</v>
      </c>
      <c r="O36" s="81">
        <f t="shared" si="10"/>
        <v>11989</v>
      </c>
      <c r="P36" s="81">
        <f t="shared" si="10"/>
        <v>2223801</v>
      </c>
      <c r="Q36" s="82">
        <f t="shared" si="10"/>
        <v>4505662</v>
      </c>
      <c r="R36" s="81">
        <f t="shared" si="10"/>
        <v>43694</v>
      </c>
      <c r="S36" s="81">
        <f t="shared" si="10"/>
        <v>1090965</v>
      </c>
      <c r="T36" s="82">
        <f t="shared" si="10"/>
        <v>1134659</v>
      </c>
    </row>
    <row r="37" spans="1:20" x14ac:dyDescent="0.2">
      <c r="A37" s="51"/>
      <c r="B37" s="41"/>
      <c r="C37" s="41"/>
      <c r="D37" s="41"/>
      <c r="E37" s="41"/>
      <c r="F37" s="41"/>
      <c r="G37" s="41"/>
      <c r="H37" s="69"/>
      <c r="I37" s="69"/>
      <c r="J37" s="69"/>
      <c r="K37" s="69"/>
      <c r="L37" s="79"/>
      <c r="M37" s="69"/>
      <c r="N37" s="69"/>
      <c r="O37" s="69"/>
      <c r="P37" s="69"/>
      <c r="Q37" s="79"/>
      <c r="R37" s="69"/>
      <c r="S37" s="69"/>
      <c r="T37" s="79"/>
    </row>
    <row r="38" spans="1:20" x14ac:dyDescent="0.2">
      <c r="A38" s="51" t="s">
        <v>86</v>
      </c>
      <c r="B38" s="41"/>
      <c r="C38" s="41"/>
      <c r="D38" s="41"/>
      <c r="E38" s="41"/>
      <c r="F38" s="41"/>
      <c r="G38" s="41"/>
      <c r="H38" s="69">
        <v>7177</v>
      </c>
      <c r="I38" s="69">
        <v>-36340</v>
      </c>
      <c r="J38" s="69">
        <v>-5562</v>
      </c>
      <c r="K38" s="69">
        <v>-4957</v>
      </c>
      <c r="L38" s="79">
        <f>SUM(H38:K38)</f>
        <v>-39682</v>
      </c>
      <c r="M38" s="69">
        <v>-5014</v>
      </c>
      <c r="N38" s="69">
        <v>4998</v>
      </c>
      <c r="O38" s="69">
        <v>-29325</v>
      </c>
      <c r="P38" s="69">
        <v>29810</v>
      </c>
      <c r="Q38" s="79">
        <f>SUM(M38:P38)</f>
        <v>469</v>
      </c>
      <c r="R38" s="69">
        <v>-70902</v>
      </c>
      <c r="S38" s="69">
        <v>11819</v>
      </c>
      <c r="T38" s="79">
        <f t="shared" ref="T38:T39" si="11">SUM(R38:S38)</f>
        <v>-59083</v>
      </c>
    </row>
    <row r="39" spans="1:20" x14ac:dyDescent="0.2">
      <c r="A39" s="51" t="s">
        <v>87</v>
      </c>
      <c r="B39" s="41"/>
      <c r="C39" s="41"/>
      <c r="D39" s="41"/>
      <c r="E39" s="41"/>
      <c r="F39" s="41"/>
      <c r="H39" s="69">
        <v>-223318</v>
      </c>
      <c r="I39" s="69">
        <v>1314517</v>
      </c>
      <c r="J39" s="69">
        <v>-835430</v>
      </c>
      <c r="K39" s="69">
        <v>733477</v>
      </c>
      <c r="L39" s="79">
        <f>SUM(H39:K39)</f>
        <v>989246</v>
      </c>
      <c r="M39" s="69">
        <v>-441944</v>
      </c>
      <c r="N39" s="69">
        <v>1658108</v>
      </c>
      <c r="O39" s="69">
        <v>-568484</v>
      </c>
      <c r="P39" s="69">
        <v>584065</v>
      </c>
      <c r="Q39" s="79">
        <f>SUM(M39:P39)</f>
        <v>1231745</v>
      </c>
      <c r="R39" s="69">
        <v>134401</v>
      </c>
      <c r="S39" s="69">
        <v>2001859</v>
      </c>
      <c r="T39" s="79">
        <f t="shared" si="11"/>
        <v>2136260</v>
      </c>
    </row>
    <row r="40" spans="1:20" x14ac:dyDescent="0.2">
      <c r="A40" s="51" t="s">
        <v>88</v>
      </c>
      <c r="B40" s="41"/>
      <c r="C40" s="41"/>
      <c r="D40" s="41"/>
      <c r="E40" s="41"/>
      <c r="F40" s="41"/>
      <c r="H40" s="69">
        <v>2822795</v>
      </c>
      <c r="I40" s="69">
        <v>2599477</v>
      </c>
      <c r="J40" s="69">
        <f>I41</f>
        <v>3913994</v>
      </c>
      <c r="K40" s="69">
        <f>J41</f>
        <v>3078564</v>
      </c>
      <c r="L40" s="79">
        <f>H40</f>
        <v>2822795</v>
      </c>
      <c r="M40" s="69">
        <v>3812041</v>
      </c>
      <c r="N40" s="69">
        <v>3370097</v>
      </c>
      <c r="O40" s="69">
        <v>5028205</v>
      </c>
      <c r="P40" s="69">
        <v>4459721</v>
      </c>
      <c r="Q40" s="79">
        <f>L41</f>
        <v>3812041</v>
      </c>
      <c r="R40" s="69">
        <v>5043786</v>
      </c>
      <c r="S40" s="69">
        <v>5178187</v>
      </c>
      <c r="T40" s="79">
        <f>Q41</f>
        <v>5043786</v>
      </c>
    </row>
    <row r="41" spans="1:20" ht="13.5" thickBot="1" x14ac:dyDescent="0.25">
      <c r="A41" s="84" t="s">
        <v>89</v>
      </c>
      <c r="B41" s="41"/>
      <c r="C41" s="41"/>
      <c r="D41" s="41"/>
      <c r="E41" s="41"/>
      <c r="F41" s="41"/>
      <c r="H41" s="85">
        <f t="shared" ref="H41:T41" si="12">SUM(H39:H40)</f>
        <v>2599477</v>
      </c>
      <c r="I41" s="85">
        <f t="shared" si="12"/>
        <v>3913994</v>
      </c>
      <c r="J41" s="85">
        <f t="shared" si="12"/>
        <v>3078564</v>
      </c>
      <c r="K41" s="85">
        <f t="shared" si="12"/>
        <v>3812041</v>
      </c>
      <c r="L41" s="86">
        <f t="shared" si="12"/>
        <v>3812041</v>
      </c>
      <c r="M41" s="85">
        <f t="shared" si="12"/>
        <v>3370097</v>
      </c>
      <c r="N41" s="85">
        <f t="shared" si="12"/>
        <v>5028205</v>
      </c>
      <c r="O41" s="85">
        <f t="shared" si="12"/>
        <v>4459721</v>
      </c>
      <c r="P41" s="85">
        <f t="shared" si="12"/>
        <v>5043786</v>
      </c>
      <c r="Q41" s="86">
        <f t="shared" si="12"/>
        <v>5043786</v>
      </c>
      <c r="R41" s="85">
        <f t="shared" si="12"/>
        <v>5178187</v>
      </c>
      <c r="S41" s="85">
        <f t="shared" si="12"/>
        <v>7180046</v>
      </c>
      <c r="T41" s="86">
        <f t="shared" si="12"/>
        <v>7180046</v>
      </c>
    </row>
    <row r="42" spans="1:20" x14ac:dyDescent="0.2">
      <c r="A42" s="87"/>
      <c r="B42" s="41"/>
      <c r="C42" s="41"/>
      <c r="D42" s="41"/>
      <c r="E42" s="41"/>
      <c r="F42" s="41"/>
      <c r="L42" s="79"/>
      <c r="Q42" s="79"/>
      <c r="T42" s="79"/>
    </row>
    <row r="43" spans="1:20" x14ac:dyDescent="0.2">
      <c r="A43" s="88" t="s">
        <v>90</v>
      </c>
      <c r="B43" s="13"/>
      <c r="C43" s="13"/>
      <c r="D43" s="41"/>
      <c r="E43" s="41"/>
      <c r="F43" s="41"/>
      <c r="L43" s="89"/>
      <c r="Q43" s="89"/>
      <c r="T43" s="89"/>
    </row>
    <row r="44" spans="1:20" x14ac:dyDescent="0.2">
      <c r="A44" s="90"/>
      <c r="B44" s="41" t="s">
        <v>75</v>
      </c>
      <c r="C44" s="13"/>
      <c r="D44" s="41"/>
      <c r="E44" s="41"/>
      <c r="F44" s="41"/>
      <c r="H44" s="76">
        <v>-236757</v>
      </c>
      <c r="I44" s="76">
        <v>-518239</v>
      </c>
      <c r="J44" s="76">
        <v>-690411</v>
      </c>
      <c r="K44" s="76">
        <v>-1235072</v>
      </c>
      <c r="L44" s="77">
        <f>SUM(H44:K44)</f>
        <v>-2680479</v>
      </c>
      <c r="M44" s="76">
        <v>-379799</v>
      </c>
      <c r="N44" s="76">
        <v>-543754</v>
      </c>
      <c r="O44" s="76">
        <v>-501794</v>
      </c>
      <c r="P44" s="76">
        <f>P26</f>
        <v>-1461975</v>
      </c>
      <c r="Q44" s="77">
        <f>SUM(M44:P44)</f>
        <v>-2887322</v>
      </c>
      <c r="R44" s="76">
        <f>R26</f>
        <v>259912</v>
      </c>
      <c r="S44" s="76">
        <f>S26</f>
        <v>1041076</v>
      </c>
      <c r="T44" s="77">
        <f t="shared" ref="T44:T45" si="13">SUM(R44:S44)</f>
        <v>1300988</v>
      </c>
    </row>
    <row r="45" spans="1:20" x14ac:dyDescent="0.2">
      <c r="A45" s="91"/>
      <c r="B45" s="41" t="s">
        <v>79</v>
      </c>
      <c r="C45" s="41"/>
      <c r="D45" s="41"/>
      <c r="E45" s="41"/>
      <c r="F45" s="41"/>
      <c r="H45" s="69">
        <v>-49752</v>
      </c>
      <c r="I45" s="69">
        <v>-40316</v>
      </c>
      <c r="J45" s="69">
        <v>-168694</v>
      </c>
      <c r="K45" s="69">
        <v>-80358</v>
      </c>
      <c r="L45" s="79">
        <f>SUM(H45:K45)</f>
        <v>-339120</v>
      </c>
      <c r="M45" s="69">
        <v>-80103</v>
      </c>
      <c r="N45" s="69">
        <v>-50036</v>
      </c>
      <c r="O45" s="69">
        <v>-49354</v>
      </c>
      <c r="P45" s="69">
        <v>-207571</v>
      </c>
      <c r="Q45" s="79">
        <f>SUM(M45:P45)</f>
        <v>-387064</v>
      </c>
      <c r="R45" s="69">
        <f>R30</f>
        <v>-98303</v>
      </c>
      <c r="S45" s="69">
        <f>S30</f>
        <v>-142001</v>
      </c>
      <c r="T45" s="79">
        <f t="shared" si="13"/>
        <v>-240304</v>
      </c>
    </row>
    <row r="46" spans="1:20" ht="13.5" thickBot="1" x14ac:dyDescent="0.25">
      <c r="A46" s="92"/>
      <c r="B46" s="36" t="s">
        <v>91</v>
      </c>
      <c r="C46" s="40"/>
      <c r="D46" s="40"/>
      <c r="E46" s="40"/>
      <c r="F46" s="40"/>
      <c r="H46" s="93">
        <f t="shared" ref="H46:T46" si="14">SUM(H44:H45)</f>
        <v>-286509</v>
      </c>
      <c r="I46" s="93">
        <f t="shared" si="14"/>
        <v>-558555</v>
      </c>
      <c r="J46" s="93">
        <f t="shared" si="14"/>
        <v>-859105</v>
      </c>
      <c r="K46" s="93">
        <f t="shared" si="14"/>
        <v>-1315430</v>
      </c>
      <c r="L46" s="94">
        <f t="shared" si="14"/>
        <v>-3019599</v>
      </c>
      <c r="M46" s="93">
        <f t="shared" si="14"/>
        <v>-459902</v>
      </c>
      <c r="N46" s="93">
        <f t="shared" si="14"/>
        <v>-593790</v>
      </c>
      <c r="O46" s="93">
        <f t="shared" si="14"/>
        <v>-551148</v>
      </c>
      <c r="P46" s="93">
        <f t="shared" si="14"/>
        <v>-1669546</v>
      </c>
      <c r="Q46" s="94">
        <f t="shared" si="14"/>
        <v>-3274386</v>
      </c>
      <c r="R46" s="93">
        <f t="shared" si="14"/>
        <v>161609</v>
      </c>
      <c r="S46" s="93">
        <f t="shared" si="14"/>
        <v>899075</v>
      </c>
      <c r="T46" s="94">
        <f t="shared" si="14"/>
        <v>1060684</v>
      </c>
    </row>
  </sheetData>
  <mergeCells count="3">
    <mergeCell ref="H5:K5"/>
    <mergeCell ref="M5:P5"/>
    <mergeCell ref="R5:S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7932-5774-46CE-836E-2CDEC54425A1}">
  <dimension ref="A1:P178"/>
  <sheetViews>
    <sheetView workbookViewId="0">
      <selection activeCell="A9" sqref="A9"/>
    </sheetView>
  </sheetViews>
  <sheetFormatPr defaultColWidth="8.85546875" defaultRowHeight="12.75" x14ac:dyDescent="0.2"/>
  <cols>
    <col min="1" max="5" width="1.42578125" style="101" customWidth="1"/>
    <col min="6" max="6" width="65.42578125" style="101" customWidth="1"/>
    <col min="7" max="12" width="13.7109375" style="101" customWidth="1"/>
    <col min="13" max="14" width="12.7109375" style="101" customWidth="1"/>
    <col min="15" max="16" width="13.7109375" style="101" customWidth="1"/>
    <col min="17" max="240" width="8.85546875" style="101"/>
    <col min="241" max="245" width="1.42578125" style="101" customWidth="1"/>
    <col min="246" max="246" width="37" style="101" customWidth="1"/>
    <col min="247" max="247" width="12.28515625" style="101" bestFit="1" customWidth="1"/>
    <col min="248" max="248" width="11" style="101" bestFit="1" customWidth="1"/>
    <col min="249" max="249" width="12.7109375" style="101" bestFit="1" customWidth="1"/>
    <col min="250" max="250" width="12" style="101" bestFit="1" customWidth="1"/>
    <col min="251" max="251" width="13.140625" style="101" bestFit="1" customWidth="1"/>
    <col min="252" max="255" width="13.42578125" style="101" customWidth="1"/>
    <col min="256" max="256" width="13.140625" style="101" bestFit="1" customWidth="1"/>
    <col min="257" max="260" width="14.7109375" style="101" customWidth="1"/>
    <col min="261" max="261" width="13.140625" style="101" bestFit="1" customWidth="1"/>
    <col min="262" max="496" width="8.85546875" style="101"/>
    <col min="497" max="501" width="1.42578125" style="101" customWidth="1"/>
    <col min="502" max="502" width="37" style="101" customWidth="1"/>
    <col min="503" max="503" width="12.28515625" style="101" bestFit="1" customWidth="1"/>
    <col min="504" max="504" width="11" style="101" bestFit="1" customWidth="1"/>
    <col min="505" max="505" width="12.7109375" style="101" bestFit="1" customWidth="1"/>
    <col min="506" max="506" width="12" style="101" bestFit="1" customWidth="1"/>
    <col min="507" max="507" width="13.140625" style="101" bestFit="1" customWidth="1"/>
    <col min="508" max="511" width="13.42578125" style="101" customWidth="1"/>
    <col min="512" max="512" width="13.140625" style="101" bestFit="1" customWidth="1"/>
    <col min="513" max="516" width="14.7109375" style="101" customWidth="1"/>
    <col min="517" max="517" width="13.140625" style="101" bestFit="1" customWidth="1"/>
    <col min="518" max="752" width="8.85546875" style="101"/>
    <col min="753" max="757" width="1.42578125" style="101" customWidth="1"/>
    <col min="758" max="758" width="37" style="101" customWidth="1"/>
    <col min="759" max="759" width="12.28515625" style="101" bestFit="1" customWidth="1"/>
    <col min="760" max="760" width="11" style="101" bestFit="1" customWidth="1"/>
    <col min="761" max="761" width="12.7109375" style="101" bestFit="1" customWidth="1"/>
    <col min="762" max="762" width="12" style="101" bestFit="1" customWidth="1"/>
    <col min="763" max="763" width="13.140625" style="101" bestFit="1" customWidth="1"/>
    <col min="764" max="767" width="13.42578125" style="101" customWidth="1"/>
    <col min="768" max="768" width="13.140625" style="101" bestFit="1" customWidth="1"/>
    <col min="769" max="772" width="14.7109375" style="101" customWidth="1"/>
    <col min="773" max="773" width="13.140625" style="101" bestFit="1" customWidth="1"/>
    <col min="774" max="1008" width="8.85546875" style="101"/>
    <col min="1009" max="1013" width="1.42578125" style="101" customWidth="1"/>
    <col min="1014" max="1014" width="37" style="101" customWidth="1"/>
    <col min="1015" max="1015" width="12.28515625" style="101" bestFit="1" customWidth="1"/>
    <col min="1016" max="1016" width="11" style="101" bestFit="1" customWidth="1"/>
    <col min="1017" max="1017" width="12.7109375" style="101" bestFit="1" customWidth="1"/>
    <col min="1018" max="1018" width="12" style="101" bestFit="1" customWidth="1"/>
    <col min="1019" max="1019" width="13.140625" style="101" bestFit="1" customWidth="1"/>
    <col min="1020" max="1023" width="13.42578125" style="101" customWidth="1"/>
    <col min="1024" max="1024" width="13.140625" style="101" bestFit="1" customWidth="1"/>
    <col min="1025" max="1028" width="14.7109375" style="101" customWidth="1"/>
    <col min="1029" max="1029" width="13.140625" style="101" bestFit="1" customWidth="1"/>
    <col min="1030" max="1264" width="8.85546875" style="101"/>
    <col min="1265" max="1269" width="1.42578125" style="101" customWidth="1"/>
    <col min="1270" max="1270" width="37" style="101" customWidth="1"/>
    <col min="1271" max="1271" width="12.28515625" style="101" bestFit="1" customWidth="1"/>
    <col min="1272" max="1272" width="11" style="101" bestFit="1" customWidth="1"/>
    <col min="1273" max="1273" width="12.7109375" style="101" bestFit="1" customWidth="1"/>
    <col min="1274" max="1274" width="12" style="101" bestFit="1" customWidth="1"/>
    <col min="1275" max="1275" width="13.140625" style="101" bestFit="1" customWidth="1"/>
    <col min="1276" max="1279" width="13.42578125" style="101" customWidth="1"/>
    <col min="1280" max="1280" width="13.140625" style="101" bestFit="1" customWidth="1"/>
    <col min="1281" max="1284" width="14.7109375" style="101" customWidth="1"/>
    <col min="1285" max="1285" width="13.140625" style="101" bestFit="1" customWidth="1"/>
    <col min="1286" max="1520" width="8.85546875" style="101"/>
    <col min="1521" max="1525" width="1.42578125" style="101" customWidth="1"/>
    <col min="1526" max="1526" width="37" style="101" customWidth="1"/>
    <col min="1527" max="1527" width="12.28515625" style="101" bestFit="1" customWidth="1"/>
    <col min="1528" max="1528" width="11" style="101" bestFit="1" customWidth="1"/>
    <col min="1529" max="1529" width="12.7109375" style="101" bestFit="1" customWidth="1"/>
    <col min="1530" max="1530" width="12" style="101" bestFit="1" customWidth="1"/>
    <col min="1531" max="1531" width="13.140625" style="101" bestFit="1" customWidth="1"/>
    <col min="1532" max="1535" width="13.42578125" style="101" customWidth="1"/>
    <col min="1536" max="1536" width="13.140625" style="101" bestFit="1" customWidth="1"/>
    <col min="1537" max="1540" width="14.7109375" style="101" customWidth="1"/>
    <col min="1541" max="1541" width="13.140625" style="101" bestFit="1" customWidth="1"/>
    <col min="1542" max="1776" width="8.85546875" style="101"/>
    <col min="1777" max="1781" width="1.42578125" style="101" customWidth="1"/>
    <col min="1782" max="1782" width="37" style="101" customWidth="1"/>
    <col min="1783" max="1783" width="12.28515625" style="101" bestFit="1" customWidth="1"/>
    <col min="1784" max="1784" width="11" style="101" bestFit="1" customWidth="1"/>
    <col min="1785" max="1785" width="12.7109375" style="101" bestFit="1" customWidth="1"/>
    <col min="1786" max="1786" width="12" style="101" bestFit="1" customWidth="1"/>
    <col min="1787" max="1787" width="13.140625" style="101" bestFit="1" customWidth="1"/>
    <col min="1788" max="1791" width="13.42578125" style="101" customWidth="1"/>
    <col min="1792" max="1792" width="13.140625" style="101" bestFit="1" customWidth="1"/>
    <col min="1793" max="1796" width="14.7109375" style="101" customWidth="1"/>
    <col min="1797" max="1797" width="13.140625" style="101" bestFit="1" customWidth="1"/>
    <col min="1798" max="2032" width="8.85546875" style="101"/>
    <col min="2033" max="2037" width="1.42578125" style="101" customWidth="1"/>
    <col min="2038" max="2038" width="37" style="101" customWidth="1"/>
    <col min="2039" max="2039" width="12.28515625" style="101" bestFit="1" customWidth="1"/>
    <col min="2040" max="2040" width="11" style="101" bestFit="1" customWidth="1"/>
    <col min="2041" max="2041" width="12.7109375" style="101" bestFit="1" customWidth="1"/>
    <col min="2042" max="2042" width="12" style="101" bestFit="1" customWidth="1"/>
    <col min="2043" max="2043" width="13.140625" style="101" bestFit="1" customWidth="1"/>
    <col min="2044" max="2047" width="13.42578125" style="101" customWidth="1"/>
    <col min="2048" max="2048" width="13.140625" style="101" bestFit="1" customWidth="1"/>
    <col min="2049" max="2052" width="14.7109375" style="101" customWidth="1"/>
    <col min="2053" max="2053" width="13.140625" style="101" bestFit="1" customWidth="1"/>
    <col min="2054" max="2288" width="8.85546875" style="101"/>
    <col min="2289" max="2293" width="1.42578125" style="101" customWidth="1"/>
    <col min="2294" max="2294" width="37" style="101" customWidth="1"/>
    <col min="2295" max="2295" width="12.28515625" style="101" bestFit="1" customWidth="1"/>
    <col min="2296" max="2296" width="11" style="101" bestFit="1" customWidth="1"/>
    <col min="2297" max="2297" width="12.7109375" style="101" bestFit="1" customWidth="1"/>
    <col min="2298" max="2298" width="12" style="101" bestFit="1" customWidth="1"/>
    <col min="2299" max="2299" width="13.140625" style="101" bestFit="1" customWidth="1"/>
    <col min="2300" max="2303" width="13.42578125" style="101" customWidth="1"/>
    <col min="2304" max="2304" width="13.140625" style="101" bestFit="1" customWidth="1"/>
    <col min="2305" max="2308" width="14.7109375" style="101" customWidth="1"/>
    <col min="2309" max="2309" width="13.140625" style="101" bestFit="1" customWidth="1"/>
    <col min="2310" max="2544" width="8.85546875" style="101"/>
    <col min="2545" max="2549" width="1.42578125" style="101" customWidth="1"/>
    <col min="2550" max="2550" width="37" style="101" customWidth="1"/>
    <col min="2551" max="2551" width="12.28515625" style="101" bestFit="1" customWidth="1"/>
    <col min="2552" max="2552" width="11" style="101" bestFit="1" customWidth="1"/>
    <col min="2553" max="2553" width="12.7109375" style="101" bestFit="1" customWidth="1"/>
    <col min="2554" max="2554" width="12" style="101" bestFit="1" customWidth="1"/>
    <col min="2555" max="2555" width="13.140625" style="101" bestFit="1" customWidth="1"/>
    <col min="2556" max="2559" width="13.42578125" style="101" customWidth="1"/>
    <col min="2560" max="2560" width="13.140625" style="101" bestFit="1" customWidth="1"/>
    <col min="2561" max="2564" width="14.7109375" style="101" customWidth="1"/>
    <col min="2565" max="2565" width="13.140625" style="101" bestFit="1" customWidth="1"/>
    <col min="2566" max="2800" width="8.85546875" style="101"/>
    <col min="2801" max="2805" width="1.42578125" style="101" customWidth="1"/>
    <col min="2806" max="2806" width="37" style="101" customWidth="1"/>
    <col min="2807" max="2807" width="12.28515625" style="101" bestFit="1" customWidth="1"/>
    <col min="2808" max="2808" width="11" style="101" bestFit="1" customWidth="1"/>
    <col min="2809" max="2809" width="12.7109375" style="101" bestFit="1" customWidth="1"/>
    <col min="2810" max="2810" width="12" style="101" bestFit="1" customWidth="1"/>
    <col min="2811" max="2811" width="13.140625" style="101" bestFit="1" customWidth="1"/>
    <col min="2812" max="2815" width="13.42578125" style="101" customWidth="1"/>
    <col min="2816" max="2816" width="13.140625" style="101" bestFit="1" customWidth="1"/>
    <col min="2817" max="2820" width="14.7109375" style="101" customWidth="1"/>
    <col min="2821" max="2821" width="13.140625" style="101" bestFit="1" customWidth="1"/>
    <col min="2822" max="3056" width="8.85546875" style="101"/>
    <col min="3057" max="3061" width="1.42578125" style="101" customWidth="1"/>
    <col min="3062" max="3062" width="37" style="101" customWidth="1"/>
    <col min="3063" max="3063" width="12.28515625" style="101" bestFit="1" customWidth="1"/>
    <col min="3064" max="3064" width="11" style="101" bestFit="1" customWidth="1"/>
    <col min="3065" max="3065" width="12.7109375" style="101" bestFit="1" customWidth="1"/>
    <col min="3066" max="3066" width="12" style="101" bestFit="1" customWidth="1"/>
    <col min="3067" max="3067" width="13.140625" style="101" bestFit="1" customWidth="1"/>
    <col min="3068" max="3071" width="13.42578125" style="101" customWidth="1"/>
    <col min="3072" max="3072" width="13.140625" style="101" bestFit="1" customWidth="1"/>
    <col min="3073" max="3076" width="14.7109375" style="101" customWidth="1"/>
    <col min="3077" max="3077" width="13.140625" style="101" bestFit="1" customWidth="1"/>
    <col min="3078" max="3312" width="8.85546875" style="101"/>
    <col min="3313" max="3317" width="1.42578125" style="101" customWidth="1"/>
    <col min="3318" max="3318" width="37" style="101" customWidth="1"/>
    <col min="3319" max="3319" width="12.28515625" style="101" bestFit="1" customWidth="1"/>
    <col min="3320" max="3320" width="11" style="101" bestFit="1" customWidth="1"/>
    <col min="3321" max="3321" width="12.7109375" style="101" bestFit="1" customWidth="1"/>
    <col min="3322" max="3322" width="12" style="101" bestFit="1" customWidth="1"/>
    <col min="3323" max="3323" width="13.140625" style="101" bestFit="1" customWidth="1"/>
    <col min="3324" max="3327" width="13.42578125" style="101" customWidth="1"/>
    <col min="3328" max="3328" width="13.140625" style="101" bestFit="1" customWidth="1"/>
    <col min="3329" max="3332" width="14.7109375" style="101" customWidth="1"/>
    <col min="3333" max="3333" width="13.140625" style="101" bestFit="1" customWidth="1"/>
    <col min="3334" max="3568" width="8.85546875" style="101"/>
    <col min="3569" max="3573" width="1.42578125" style="101" customWidth="1"/>
    <col min="3574" max="3574" width="37" style="101" customWidth="1"/>
    <col min="3575" max="3575" width="12.28515625" style="101" bestFit="1" customWidth="1"/>
    <col min="3576" max="3576" width="11" style="101" bestFit="1" customWidth="1"/>
    <col min="3577" max="3577" width="12.7109375" style="101" bestFit="1" customWidth="1"/>
    <col min="3578" max="3578" width="12" style="101" bestFit="1" customWidth="1"/>
    <col min="3579" max="3579" width="13.140625" style="101" bestFit="1" customWidth="1"/>
    <col min="3580" max="3583" width="13.42578125" style="101" customWidth="1"/>
    <col min="3584" max="3584" width="13.140625" style="101" bestFit="1" customWidth="1"/>
    <col min="3585" max="3588" width="14.7109375" style="101" customWidth="1"/>
    <col min="3589" max="3589" width="13.140625" style="101" bestFit="1" customWidth="1"/>
    <col min="3590" max="3824" width="8.85546875" style="101"/>
    <col min="3825" max="3829" width="1.42578125" style="101" customWidth="1"/>
    <col min="3830" max="3830" width="37" style="101" customWidth="1"/>
    <col min="3831" max="3831" width="12.28515625" style="101" bestFit="1" customWidth="1"/>
    <col min="3832" max="3832" width="11" style="101" bestFit="1" customWidth="1"/>
    <col min="3833" max="3833" width="12.7109375" style="101" bestFit="1" customWidth="1"/>
    <col min="3834" max="3834" width="12" style="101" bestFit="1" customWidth="1"/>
    <col min="3835" max="3835" width="13.140625" style="101" bestFit="1" customWidth="1"/>
    <col min="3836" max="3839" width="13.42578125" style="101" customWidth="1"/>
    <col min="3840" max="3840" width="13.140625" style="101" bestFit="1" customWidth="1"/>
    <col min="3841" max="3844" width="14.7109375" style="101" customWidth="1"/>
    <col min="3845" max="3845" width="13.140625" style="101" bestFit="1" customWidth="1"/>
    <col min="3846" max="4080" width="8.85546875" style="101"/>
    <col min="4081" max="4085" width="1.42578125" style="101" customWidth="1"/>
    <col min="4086" max="4086" width="37" style="101" customWidth="1"/>
    <col min="4087" max="4087" width="12.28515625" style="101" bestFit="1" customWidth="1"/>
    <col min="4088" max="4088" width="11" style="101" bestFit="1" customWidth="1"/>
    <col min="4089" max="4089" width="12.7109375" style="101" bestFit="1" customWidth="1"/>
    <col min="4090" max="4090" width="12" style="101" bestFit="1" customWidth="1"/>
    <col min="4091" max="4091" width="13.140625" style="101" bestFit="1" customWidth="1"/>
    <col min="4092" max="4095" width="13.42578125" style="101" customWidth="1"/>
    <col min="4096" max="4096" width="13.140625" style="101" bestFit="1" customWidth="1"/>
    <col min="4097" max="4100" width="14.7109375" style="101" customWidth="1"/>
    <col min="4101" max="4101" width="13.140625" style="101" bestFit="1" customWidth="1"/>
    <col min="4102" max="4336" width="8.85546875" style="101"/>
    <col min="4337" max="4341" width="1.42578125" style="101" customWidth="1"/>
    <col min="4342" max="4342" width="37" style="101" customWidth="1"/>
    <col min="4343" max="4343" width="12.28515625" style="101" bestFit="1" customWidth="1"/>
    <col min="4344" max="4344" width="11" style="101" bestFit="1" customWidth="1"/>
    <col min="4345" max="4345" width="12.7109375" style="101" bestFit="1" customWidth="1"/>
    <col min="4346" max="4346" width="12" style="101" bestFit="1" customWidth="1"/>
    <col min="4347" max="4347" width="13.140625" style="101" bestFit="1" customWidth="1"/>
    <col min="4348" max="4351" width="13.42578125" style="101" customWidth="1"/>
    <col min="4352" max="4352" width="13.140625" style="101" bestFit="1" customWidth="1"/>
    <col min="4353" max="4356" width="14.7109375" style="101" customWidth="1"/>
    <col min="4357" max="4357" width="13.140625" style="101" bestFit="1" customWidth="1"/>
    <col min="4358" max="4592" width="8.85546875" style="101"/>
    <col min="4593" max="4597" width="1.42578125" style="101" customWidth="1"/>
    <col min="4598" max="4598" width="37" style="101" customWidth="1"/>
    <col min="4599" max="4599" width="12.28515625" style="101" bestFit="1" customWidth="1"/>
    <col min="4600" max="4600" width="11" style="101" bestFit="1" customWidth="1"/>
    <col min="4601" max="4601" width="12.7109375" style="101" bestFit="1" customWidth="1"/>
    <col min="4602" max="4602" width="12" style="101" bestFit="1" customWidth="1"/>
    <col min="4603" max="4603" width="13.140625" style="101" bestFit="1" customWidth="1"/>
    <col min="4604" max="4607" width="13.42578125" style="101" customWidth="1"/>
    <col min="4608" max="4608" width="13.140625" style="101" bestFit="1" customWidth="1"/>
    <col min="4609" max="4612" width="14.7109375" style="101" customWidth="1"/>
    <col min="4613" max="4613" width="13.140625" style="101" bestFit="1" customWidth="1"/>
    <col min="4614" max="4848" width="8.85546875" style="101"/>
    <col min="4849" max="4853" width="1.42578125" style="101" customWidth="1"/>
    <col min="4854" max="4854" width="37" style="101" customWidth="1"/>
    <col min="4855" max="4855" width="12.28515625" style="101" bestFit="1" customWidth="1"/>
    <col min="4856" max="4856" width="11" style="101" bestFit="1" customWidth="1"/>
    <col min="4857" max="4857" width="12.7109375" style="101" bestFit="1" customWidth="1"/>
    <col min="4858" max="4858" width="12" style="101" bestFit="1" customWidth="1"/>
    <col min="4859" max="4859" width="13.140625" style="101" bestFit="1" customWidth="1"/>
    <col min="4860" max="4863" width="13.42578125" style="101" customWidth="1"/>
    <col min="4864" max="4864" width="13.140625" style="101" bestFit="1" customWidth="1"/>
    <col min="4865" max="4868" width="14.7109375" style="101" customWidth="1"/>
    <col min="4869" max="4869" width="13.140625" style="101" bestFit="1" customWidth="1"/>
    <col min="4870" max="5104" width="8.85546875" style="101"/>
    <col min="5105" max="5109" width="1.42578125" style="101" customWidth="1"/>
    <col min="5110" max="5110" width="37" style="101" customWidth="1"/>
    <col min="5111" max="5111" width="12.28515625" style="101" bestFit="1" customWidth="1"/>
    <col min="5112" max="5112" width="11" style="101" bestFit="1" customWidth="1"/>
    <col min="5113" max="5113" width="12.7109375" style="101" bestFit="1" customWidth="1"/>
    <col min="5114" max="5114" width="12" style="101" bestFit="1" customWidth="1"/>
    <col min="5115" max="5115" width="13.140625" style="101" bestFit="1" customWidth="1"/>
    <col min="5116" max="5119" width="13.42578125" style="101" customWidth="1"/>
    <col min="5120" max="5120" width="13.140625" style="101" bestFit="1" customWidth="1"/>
    <col min="5121" max="5124" width="14.7109375" style="101" customWidth="1"/>
    <col min="5125" max="5125" width="13.140625" style="101" bestFit="1" customWidth="1"/>
    <col min="5126" max="5360" width="8.85546875" style="101"/>
    <col min="5361" max="5365" width="1.42578125" style="101" customWidth="1"/>
    <col min="5366" max="5366" width="37" style="101" customWidth="1"/>
    <col min="5367" max="5367" width="12.28515625" style="101" bestFit="1" customWidth="1"/>
    <col min="5368" max="5368" width="11" style="101" bestFit="1" customWidth="1"/>
    <col min="5369" max="5369" width="12.7109375" style="101" bestFit="1" customWidth="1"/>
    <col min="5370" max="5370" width="12" style="101" bestFit="1" customWidth="1"/>
    <col min="5371" max="5371" width="13.140625" style="101" bestFit="1" customWidth="1"/>
    <col min="5372" max="5375" width="13.42578125" style="101" customWidth="1"/>
    <col min="5376" max="5376" width="13.140625" style="101" bestFit="1" customWidth="1"/>
    <col min="5377" max="5380" width="14.7109375" style="101" customWidth="1"/>
    <col min="5381" max="5381" width="13.140625" style="101" bestFit="1" customWidth="1"/>
    <col min="5382" max="5616" width="8.85546875" style="101"/>
    <col min="5617" max="5621" width="1.42578125" style="101" customWidth="1"/>
    <col min="5622" max="5622" width="37" style="101" customWidth="1"/>
    <col min="5623" max="5623" width="12.28515625" style="101" bestFit="1" customWidth="1"/>
    <col min="5624" max="5624" width="11" style="101" bestFit="1" customWidth="1"/>
    <col min="5625" max="5625" width="12.7109375" style="101" bestFit="1" customWidth="1"/>
    <col min="5626" max="5626" width="12" style="101" bestFit="1" customWidth="1"/>
    <col min="5627" max="5627" width="13.140625" style="101" bestFit="1" customWidth="1"/>
    <col min="5628" max="5631" width="13.42578125" style="101" customWidth="1"/>
    <col min="5632" max="5632" width="13.140625" style="101" bestFit="1" customWidth="1"/>
    <col min="5633" max="5636" width="14.7109375" style="101" customWidth="1"/>
    <col min="5637" max="5637" width="13.140625" style="101" bestFit="1" customWidth="1"/>
    <col min="5638" max="5872" width="8.85546875" style="101"/>
    <col min="5873" max="5877" width="1.42578125" style="101" customWidth="1"/>
    <col min="5878" max="5878" width="37" style="101" customWidth="1"/>
    <col min="5879" max="5879" width="12.28515625" style="101" bestFit="1" customWidth="1"/>
    <col min="5880" max="5880" width="11" style="101" bestFit="1" customWidth="1"/>
    <col min="5881" max="5881" width="12.7109375" style="101" bestFit="1" customWidth="1"/>
    <col min="5882" max="5882" width="12" style="101" bestFit="1" customWidth="1"/>
    <col min="5883" max="5883" width="13.140625" style="101" bestFit="1" customWidth="1"/>
    <col min="5884" max="5887" width="13.42578125" style="101" customWidth="1"/>
    <col min="5888" max="5888" width="13.140625" style="101" bestFit="1" customWidth="1"/>
    <col min="5889" max="5892" width="14.7109375" style="101" customWidth="1"/>
    <col min="5893" max="5893" width="13.140625" style="101" bestFit="1" customWidth="1"/>
    <col min="5894" max="6128" width="8.85546875" style="101"/>
    <col min="6129" max="6133" width="1.42578125" style="101" customWidth="1"/>
    <col min="6134" max="6134" width="37" style="101" customWidth="1"/>
    <col min="6135" max="6135" width="12.28515625" style="101" bestFit="1" customWidth="1"/>
    <col min="6136" max="6136" width="11" style="101" bestFit="1" customWidth="1"/>
    <col min="6137" max="6137" width="12.7109375" style="101" bestFit="1" customWidth="1"/>
    <col min="6138" max="6138" width="12" style="101" bestFit="1" customWidth="1"/>
    <col min="6139" max="6139" width="13.140625" style="101" bestFit="1" customWidth="1"/>
    <col min="6140" max="6143" width="13.42578125" style="101" customWidth="1"/>
    <col min="6144" max="6144" width="13.140625" style="101" bestFit="1" customWidth="1"/>
    <col min="6145" max="6148" width="14.7109375" style="101" customWidth="1"/>
    <col min="6149" max="6149" width="13.140625" style="101" bestFit="1" customWidth="1"/>
    <col min="6150" max="6384" width="8.85546875" style="101"/>
    <col min="6385" max="6389" width="1.42578125" style="101" customWidth="1"/>
    <col min="6390" max="6390" width="37" style="101" customWidth="1"/>
    <col min="6391" max="6391" width="12.28515625" style="101" bestFit="1" customWidth="1"/>
    <col min="6392" max="6392" width="11" style="101" bestFit="1" customWidth="1"/>
    <col min="6393" max="6393" width="12.7109375" style="101" bestFit="1" customWidth="1"/>
    <col min="6394" max="6394" width="12" style="101" bestFit="1" customWidth="1"/>
    <col min="6395" max="6395" width="13.140625" style="101" bestFit="1" customWidth="1"/>
    <col min="6396" max="6399" width="13.42578125" style="101" customWidth="1"/>
    <col min="6400" max="6400" width="13.140625" style="101" bestFit="1" customWidth="1"/>
    <col min="6401" max="6404" width="14.7109375" style="101" customWidth="1"/>
    <col min="6405" max="6405" width="13.140625" style="101" bestFit="1" customWidth="1"/>
    <col min="6406" max="6640" width="8.85546875" style="101"/>
    <col min="6641" max="6645" width="1.42578125" style="101" customWidth="1"/>
    <col min="6646" max="6646" width="37" style="101" customWidth="1"/>
    <col min="6647" max="6647" width="12.28515625" style="101" bestFit="1" customWidth="1"/>
    <col min="6648" max="6648" width="11" style="101" bestFit="1" customWidth="1"/>
    <col min="6649" max="6649" width="12.7109375" style="101" bestFit="1" customWidth="1"/>
    <col min="6650" max="6650" width="12" style="101" bestFit="1" customWidth="1"/>
    <col min="6651" max="6651" width="13.140625" style="101" bestFit="1" customWidth="1"/>
    <col min="6652" max="6655" width="13.42578125" style="101" customWidth="1"/>
    <col min="6656" max="6656" width="13.140625" style="101" bestFit="1" customWidth="1"/>
    <col min="6657" max="6660" width="14.7109375" style="101" customWidth="1"/>
    <col min="6661" max="6661" width="13.140625" style="101" bestFit="1" customWidth="1"/>
    <col min="6662" max="6896" width="8.85546875" style="101"/>
    <col min="6897" max="6901" width="1.42578125" style="101" customWidth="1"/>
    <col min="6902" max="6902" width="37" style="101" customWidth="1"/>
    <col min="6903" max="6903" width="12.28515625" style="101" bestFit="1" customWidth="1"/>
    <col min="6904" max="6904" width="11" style="101" bestFit="1" customWidth="1"/>
    <col min="6905" max="6905" width="12.7109375" style="101" bestFit="1" customWidth="1"/>
    <col min="6906" max="6906" width="12" style="101" bestFit="1" customWidth="1"/>
    <col min="6907" max="6907" width="13.140625" style="101" bestFit="1" customWidth="1"/>
    <col min="6908" max="6911" width="13.42578125" style="101" customWidth="1"/>
    <col min="6912" max="6912" width="13.140625" style="101" bestFit="1" customWidth="1"/>
    <col min="6913" max="6916" width="14.7109375" style="101" customWidth="1"/>
    <col min="6917" max="6917" width="13.140625" style="101" bestFit="1" customWidth="1"/>
    <col min="6918" max="7152" width="8.85546875" style="101"/>
    <col min="7153" max="7157" width="1.42578125" style="101" customWidth="1"/>
    <col min="7158" max="7158" width="37" style="101" customWidth="1"/>
    <col min="7159" max="7159" width="12.28515625" style="101" bestFit="1" customWidth="1"/>
    <col min="7160" max="7160" width="11" style="101" bestFit="1" customWidth="1"/>
    <col min="7161" max="7161" width="12.7109375" style="101" bestFit="1" customWidth="1"/>
    <col min="7162" max="7162" width="12" style="101" bestFit="1" customWidth="1"/>
    <col min="7163" max="7163" width="13.140625" style="101" bestFit="1" customWidth="1"/>
    <col min="7164" max="7167" width="13.42578125" style="101" customWidth="1"/>
    <col min="7168" max="7168" width="13.140625" style="101" bestFit="1" customWidth="1"/>
    <col min="7169" max="7172" width="14.7109375" style="101" customWidth="1"/>
    <col min="7173" max="7173" width="13.140625" style="101" bestFit="1" customWidth="1"/>
    <col min="7174" max="7408" width="8.85546875" style="101"/>
    <col min="7409" max="7413" width="1.42578125" style="101" customWidth="1"/>
    <col min="7414" max="7414" width="37" style="101" customWidth="1"/>
    <col min="7415" max="7415" width="12.28515625" style="101" bestFit="1" customWidth="1"/>
    <col min="7416" max="7416" width="11" style="101" bestFit="1" customWidth="1"/>
    <col min="7417" max="7417" width="12.7109375" style="101" bestFit="1" customWidth="1"/>
    <col min="7418" max="7418" width="12" style="101" bestFit="1" customWidth="1"/>
    <col min="7419" max="7419" width="13.140625" style="101" bestFit="1" customWidth="1"/>
    <col min="7420" max="7423" width="13.42578125" style="101" customWidth="1"/>
    <col min="7424" max="7424" width="13.140625" style="101" bestFit="1" customWidth="1"/>
    <col min="7425" max="7428" width="14.7109375" style="101" customWidth="1"/>
    <col min="7429" max="7429" width="13.140625" style="101" bestFit="1" customWidth="1"/>
    <col min="7430" max="7664" width="8.85546875" style="101"/>
    <col min="7665" max="7669" width="1.42578125" style="101" customWidth="1"/>
    <col min="7670" max="7670" width="37" style="101" customWidth="1"/>
    <col min="7671" max="7671" width="12.28515625" style="101" bestFit="1" customWidth="1"/>
    <col min="7672" max="7672" width="11" style="101" bestFit="1" customWidth="1"/>
    <col min="7673" max="7673" width="12.7109375" style="101" bestFit="1" customWidth="1"/>
    <col min="7674" max="7674" width="12" style="101" bestFit="1" customWidth="1"/>
    <col min="7675" max="7675" width="13.140625" style="101" bestFit="1" customWidth="1"/>
    <col min="7676" max="7679" width="13.42578125" style="101" customWidth="1"/>
    <col min="7680" max="7680" width="13.140625" style="101" bestFit="1" customWidth="1"/>
    <col min="7681" max="7684" width="14.7109375" style="101" customWidth="1"/>
    <col min="7685" max="7685" width="13.140625" style="101" bestFit="1" customWidth="1"/>
    <col min="7686" max="7920" width="8.85546875" style="101"/>
    <col min="7921" max="7925" width="1.42578125" style="101" customWidth="1"/>
    <col min="7926" max="7926" width="37" style="101" customWidth="1"/>
    <col min="7927" max="7927" width="12.28515625" style="101" bestFit="1" customWidth="1"/>
    <col min="7928" max="7928" width="11" style="101" bestFit="1" customWidth="1"/>
    <col min="7929" max="7929" width="12.7109375" style="101" bestFit="1" customWidth="1"/>
    <col min="7930" max="7930" width="12" style="101" bestFit="1" customWidth="1"/>
    <col min="7931" max="7931" width="13.140625" style="101" bestFit="1" customWidth="1"/>
    <col min="7932" max="7935" width="13.42578125" style="101" customWidth="1"/>
    <col min="7936" max="7936" width="13.140625" style="101" bestFit="1" customWidth="1"/>
    <col min="7937" max="7940" width="14.7109375" style="101" customWidth="1"/>
    <col min="7941" max="7941" width="13.140625" style="101" bestFit="1" customWidth="1"/>
    <col min="7942" max="8176" width="8.85546875" style="101"/>
    <col min="8177" max="8181" width="1.42578125" style="101" customWidth="1"/>
    <col min="8182" max="8182" width="37" style="101" customWidth="1"/>
    <col min="8183" max="8183" width="12.28515625" style="101" bestFit="1" customWidth="1"/>
    <col min="8184" max="8184" width="11" style="101" bestFit="1" customWidth="1"/>
    <col min="8185" max="8185" width="12.7109375" style="101" bestFit="1" customWidth="1"/>
    <col min="8186" max="8186" width="12" style="101" bestFit="1" customWidth="1"/>
    <col min="8187" max="8187" width="13.140625" style="101" bestFit="1" customWidth="1"/>
    <col min="8188" max="8191" width="13.42578125" style="101" customWidth="1"/>
    <col min="8192" max="8192" width="13.140625" style="101" bestFit="1" customWidth="1"/>
    <col min="8193" max="8196" width="14.7109375" style="101" customWidth="1"/>
    <col min="8197" max="8197" width="13.140625" style="101" bestFit="1" customWidth="1"/>
    <col min="8198" max="8432" width="8.85546875" style="101"/>
    <col min="8433" max="8437" width="1.42578125" style="101" customWidth="1"/>
    <col min="8438" max="8438" width="37" style="101" customWidth="1"/>
    <col min="8439" max="8439" width="12.28515625" style="101" bestFit="1" customWidth="1"/>
    <col min="8440" max="8440" width="11" style="101" bestFit="1" customWidth="1"/>
    <col min="8441" max="8441" width="12.7109375" style="101" bestFit="1" customWidth="1"/>
    <col min="8442" max="8442" width="12" style="101" bestFit="1" customWidth="1"/>
    <col min="8443" max="8443" width="13.140625" style="101" bestFit="1" customWidth="1"/>
    <col min="8444" max="8447" width="13.42578125" style="101" customWidth="1"/>
    <col min="8448" max="8448" width="13.140625" style="101" bestFit="1" customWidth="1"/>
    <col min="8449" max="8452" width="14.7109375" style="101" customWidth="1"/>
    <col min="8453" max="8453" width="13.140625" style="101" bestFit="1" customWidth="1"/>
    <col min="8454" max="8688" width="8.85546875" style="101"/>
    <col min="8689" max="8693" width="1.42578125" style="101" customWidth="1"/>
    <col min="8694" max="8694" width="37" style="101" customWidth="1"/>
    <col min="8695" max="8695" width="12.28515625" style="101" bestFit="1" customWidth="1"/>
    <col min="8696" max="8696" width="11" style="101" bestFit="1" customWidth="1"/>
    <col min="8697" max="8697" width="12.7109375" style="101" bestFit="1" customWidth="1"/>
    <col min="8698" max="8698" width="12" style="101" bestFit="1" customWidth="1"/>
    <col min="8699" max="8699" width="13.140625" style="101" bestFit="1" customWidth="1"/>
    <col min="8700" max="8703" width="13.42578125" style="101" customWidth="1"/>
    <col min="8704" max="8704" width="13.140625" style="101" bestFit="1" customWidth="1"/>
    <col min="8705" max="8708" width="14.7109375" style="101" customWidth="1"/>
    <col min="8709" max="8709" width="13.140625" style="101" bestFit="1" customWidth="1"/>
    <col min="8710" max="8944" width="8.85546875" style="101"/>
    <col min="8945" max="8949" width="1.42578125" style="101" customWidth="1"/>
    <col min="8950" max="8950" width="37" style="101" customWidth="1"/>
    <col min="8951" max="8951" width="12.28515625" style="101" bestFit="1" customWidth="1"/>
    <col min="8952" max="8952" width="11" style="101" bestFit="1" customWidth="1"/>
    <col min="8953" max="8953" width="12.7109375" style="101" bestFit="1" customWidth="1"/>
    <col min="8954" max="8954" width="12" style="101" bestFit="1" customWidth="1"/>
    <col min="8955" max="8955" width="13.140625" style="101" bestFit="1" customWidth="1"/>
    <col min="8956" max="8959" width="13.42578125" style="101" customWidth="1"/>
    <col min="8960" max="8960" width="13.140625" style="101" bestFit="1" customWidth="1"/>
    <col min="8961" max="8964" width="14.7109375" style="101" customWidth="1"/>
    <col min="8965" max="8965" width="13.140625" style="101" bestFit="1" customWidth="1"/>
    <col min="8966" max="9200" width="8.85546875" style="101"/>
    <col min="9201" max="9205" width="1.42578125" style="101" customWidth="1"/>
    <col min="9206" max="9206" width="37" style="101" customWidth="1"/>
    <col min="9207" max="9207" width="12.28515625" style="101" bestFit="1" customWidth="1"/>
    <col min="9208" max="9208" width="11" style="101" bestFit="1" customWidth="1"/>
    <col min="9209" max="9209" width="12.7109375" style="101" bestFit="1" customWidth="1"/>
    <col min="9210" max="9210" width="12" style="101" bestFit="1" customWidth="1"/>
    <col min="9211" max="9211" width="13.140625" style="101" bestFit="1" customWidth="1"/>
    <col min="9212" max="9215" width="13.42578125" style="101" customWidth="1"/>
    <col min="9216" max="9216" width="13.140625" style="101" bestFit="1" customWidth="1"/>
    <col min="9217" max="9220" width="14.7109375" style="101" customWidth="1"/>
    <col min="9221" max="9221" width="13.140625" style="101" bestFit="1" customWidth="1"/>
    <col min="9222" max="9456" width="8.85546875" style="101"/>
    <col min="9457" max="9461" width="1.42578125" style="101" customWidth="1"/>
    <col min="9462" max="9462" width="37" style="101" customWidth="1"/>
    <col min="9463" max="9463" width="12.28515625" style="101" bestFit="1" customWidth="1"/>
    <col min="9464" max="9464" width="11" style="101" bestFit="1" customWidth="1"/>
    <col min="9465" max="9465" width="12.7109375" style="101" bestFit="1" customWidth="1"/>
    <col min="9466" max="9466" width="12" style="101" bestFit="1" customWidth="1"/>
    <col min="9467" max="9467" width="13.140625" style="101" bestFit="1" customWidth="1"/>
    <col min="9468" max="9471" width="13.42578125" style="101" customWidth="1"/>
    <col min="9472" max="9472" width="13.140625" style="101" bestFit="1" customWidth="1"/>
    <col min="9473" max="9476" width="14.7109375" style="101" customWidth="1"/>
    <col min="9477" max="9477" width="13.140625" style="101" bestFit="1" customWidth="1"/>
    <col min="9478" max="9712" width="8.85546875" style="101"/>
    <col min="9713" max="9717" width="1.42578125" style="101" customWidth="1"/>
    <col min="9718" max="9718" width="37" style="101" customWidth="1"/>
    <col min="9719" max="9719" width="12.28515625" style="101" bestFit="1" customWidth="1"/>
    <col min="9720" max="9720" width="11" style="101" bestFit="1" customWidth="1"/>
    <col min="9721" max="9721" width="12.7109375" style="101" bestFit="1" customWidth="1"/>
    <col min="9722" max="9722" width="12" style="101" bestFit="1" customWidth="1"/>
    <col min="9723" max="9723" width="13.140625" style="101" bestFit="1" customWidth="1"/>
    <col min="9724" max="9727" width="13.42578125" style="101" customWidth="1"/>
    <col min="9728" max="9728" width="13.140625" style="101" bestFit="1" customWidth="1"/>
    <col min="9729" max="9732" width="14.7109375" style="101" customWidth="1"/>
    <col min="9733" max="9733" width="13.140625" style="101" bestFit="1" customWidth="1"/>
    <col min="9734" max="9968" width="8.85546875" style="101"/>
    <col min="9969" max="9973" width="1.42578125" style="101" customWidth="1"/>
    <col min="9974" max="9974" width="37" style="101" customWidth="1"/>
    <col min="9975" max="9975" width="12.28515625" style="101" bestFit="1" customWidth="1"/>
    <col min="9976" max="9976" width="11" style="101" bestFit="1" customWidth="1"/>
    <col min="9977" max="9977" width="12.7109375" style="101" bestFit="1" customWidth="1"/>
    <col min="9978" max="9978" width="12" style="101" bestFit="1" customWidth="1"/>
    <col min="9979" max="9979" width="13.140625" style="101" bestFit="1" customWidth="1"/>
    <col min="9980" max="9983" width="13.42578125" style="101" customWidth="1"/>
    <col min="9984" max="9984" width="13.140625" style="101" bestFit="1" customWidth="1"/>
    <col min="9985" max="9988" width="14.7109375" style="101" customWidth="1"/>
    <col min="9989" max="9989" width="13.140625" style="101" bestFit="1" customWidth="1"/>
    <col min="9990" max="10224" width="8.85546875" style="101"/>
    <col min="10225" max="10229" width="1.42578125" style="101" customWidth="1"/>
    <col min="10230" max="10230" width="37" style="101" customWidth="1"/>
    <col min="10231" max="10231" width="12.28515625" style="101" bestFit="1" customWidth="1"/>
    <col min="10232" max="10232" width="11" style="101" bestFit="1" customWidth="1"/>
    <col min="10233" max="10233" width="12.7109375" style="101" bestFit="1" customWidth="1"/>
    <col min="10234" max="10234" width="12" style="101" bestFit="1" customWidth="1"/>
    <col min="10235" max="10235" width="13.140625" style="101" bestFit="1" customWidth="1"/>
    <col min="10236" max="10239" width="13.42578125" style="101" customWidth="1"/>
    <col min="10240" max="10240" width="13.140625" style="101" bestFit="1" customWidth="1"/>
    <col min="10241" max="10244" width="14.7109375" style="101" customWidth="1"/>
    <col min="10245" max="10245" width="13.140625" style="101" bestFit="1" customWidth="1"/>
    <col min="10246" max="10480" width="8.85546875" style="101"/>
    <col min="10481" max="10485" width="1.42578125" style="101" customWidth="1"/>
    <col min="10486" max="10486" width="37" style="101" customWidth="1"/>
    <col min="10487" max="10487" width="12.28515625" style="101" bestFit="1" customWidth="1"/>
    <col min="10488" max="10488" width="11" style="101" bestFit="1" customWidth="1"/>
    <col min="10489" max="10489" width="12.7109375" style="101" bestFit="1" customWidth="1"/>
    <col min="10490" max="10490" width="12" style="101" bestFit="1" customWidth="1"/>
    <col min="10491" max="10491" width="13.140625" style="101" bestFit="1" customWidth="1"/>
    <col min="10492" max="10495" width="13.42578125" style="101" customWidth="1"/>
    <col min="10496" max="10496" width="13.140625" style="101" bestFit="1" customWidth="1"/>
    <col min="10497" max="10500" width="14.7109375" style="101" customWidth="1"/>
    <col min="10501" max="10501" width="13.140625" style="101" bestFit="1" customWidth="1"/>
    <col min="10502" max="10736" width="8.85546875" style="101"/>
    <col min="10737" max="10741" width="1.42578125" style="101" customWidth="1"/>
    <col min="10742" max="10742" width="37" style="101" customWidth="1"/>
    <col min="10743" max="10743" width="12.28515625" style="101" bestFit="1" customWidth="1"/>
    <col min="10744" max="10744" width="11" style="101" bestFit="1" customWidth="1"/>
    <col min="10745" max="10745" width="12.7109375" style="101" bestFit="1" customWidth="1"/>
    <col min="10746" max="10746" width="12" style="101" bestFit="1" customWidth="1"/>
    <col min="10747" max="10747" width="13.140625" style="101" bestFit="1" customWidth="1"/>
    <col min="10748" max="10751" width="13.42578125" style="101" customWidth="1"/>
    <col min="10752" max="10752" width="13.140625" style="101" bestFit="1" customWidth="1"/>
    <col min="10753" max="10756" width="14.7109375" style="101" customWidth="1"/>
    <col min="10757" max="10757" width="13.140625" style="101" bestFit="1" customWidth="1"/>
    <col min="10758" max="10992" width="8.85546875" style="101"/>
    <col min="10993" max="10997" width="1.42578125" style="101" customWidth="1"/>
    <col min="10998" max="10998" width="37" style="101" customWidth="1"/>
    <col min="10999" max="10999" width="12.28515625" style="101" bestFit="1" customWidth="1"/>
    <col min="11000" max="11000" width="11" style="101" bestFit="1" customWidth="1"/>
    <col min="11001" max="11001" width="12.7109375" style="101" bestFit="1" customWidth="1"/>
    <col min="11002" max="11002" width="12" style="101" bestFit="1" customWidth="1"/>
    <col min="11003" max="11003" width="13.140625" style="101" bestFit="1" customWidth="1"/>
    <col min="11004" max="11007" width="13.42578125" style="101" customWidth="1"/>
    <col min="11008" max="11008" width="13.140625" style="101" bestFit="1" customWidth="1"/>
    <col min="11009" max="11012" width="14.7109375" style="101" customWidth="1"/>
    <col min="11013" max="11013" width="13.140625" style="101" bestFit="1" customWidth="1"/>
    <col min="11014" max="11248" width="8.85546875" style="101"/>
    <col min="11249" max="11253" width="1.42578125" style="101" customWidth="1"/>
    <col min="11254" max="11254" width="37" style="101" customWidth="1"/>
    <col min="11255" max="11255" width="12.28515625" style="101" bestFit="1" customWidth="1"/>
    <col min="11256" max="11256" width="11" style="101" bestFit="1" customWidth="1"/>
    <col min="11257" max="11257" width="12.7109375" style="101" bestFit="1" customWidth="1"/>
    <col min="11258" max="11258" width="12" style="101" bestFit="1" customWidth="1"/>
    <col min="11259" max="11259" width="13.140625" style="101" bestFit="1" customWidth="1"/>
    <col min="11260" max="11263" width="13.42578125" style="101" customWidth="1"/>
    <col min="11264" max="11264" width="13.140625" style="101" bestFit="1" customWidth="1"/>
    <col min="11265" max="11268" width="14.7109375" style="101" customWidth="1"/>
    <col min="11269" max="11269" width="13.140625" style="101" bestFit="1" customWidth="1"/>
    <col min="11270" max="11504" width="8.85546875" style="101"/>
    <col min="11505" max="11509" width="1.42578125" style="101" customWidth="1"/>
    <col min="11510" max="11510" width="37" style="101" customWidth="1"/>
    <col min="11511" max="11511" width="12.28515625" style="101" bestFit="1" customWidth="1"/>
    <col min="11512" max="11512" width="11" style="101" bestFit="1" customWidth="1"/>
    <col min="11513" max="11513" width="12.7109375" style="101" bestFit="1" customWidth="1"/>
    <col min="11514" max="11514" width="12" style="101" bestFit="1" customWidth="1"/>
    <col min="11515" max="11515" width="13.140625" style="101" bestFit="1" customWidth="1"/>
    <col min="11516" max="11519" width="13.42578125" style="101" customWidth="1"/>
    <col min="11520" max="11520" width="13.140625" style="101" bestFit="1" customWidth="1"/>
    <col min="11521" max="11524" width="14.7109375" style="101" customWidth="1"/>
    <col min="11525" max="11525" width="13.140625" style="101" bestFit="1" customWidth="1"/>
    <col min="11526" max="11760" width="8.85546875" style="101"/>
    <col min="11761" max="11765" width="1.42578125" style="101" customWidth="1"/>
    <col min="11766" max="11766" width="37" style="101" customWidth="1"/>
    <col min="11767" max="11767" width="12.28515625" style="101" bestFit="1" customWidth="1"/>
    <col min="11768" max="11768" width="11" style="101" bestFit="1" customWidth="1"/>
    <col min="11769" max="11769" width="12.7109375" style="101" bestFit="1" customWidth="1"/>
    <col min="11770" max="11770" width="12" style="101" bestFit="1" customWidth="1"/>
    <col min="11771" max="11771" width="13.140625" style="101" bestFit="1" customWidth="1"/>
    <col min="11772" max="11775" width="13.42578125" style="101" customWidth="1"/>
    <col min="11776" max="11776" width="13.140625" style="101" bestFit="1" customWidth="1"/>
    <col min="11777" max="11780" width="14.7109375" style="101" customWidth="1"/>
    <col min="11781" max="11781" width="13.140625" style="101" bestFit="1" customWidth="1"/>
    <col min="11782" max="12016" width="8.85546875" style="101"/>
    <col min="12017" max="12021" width="1.42578125" style="101" customWidth="1"/>
    <col min="12022" max="12022" width="37" style="101" customWidth="1"/>
    <col min="12023" max="12023" width="12.28515625" style="101" bestFit="1" customWidth="1"/>
    <col min="12024" max="12024" width="11" style="101" bestFit="1" customWidth="1"/>
    <col min="12025" max="12025" width="12.7109375" style="101" bestFit="1" customWidth="1"/>
    <col min="12026" max="12026" width="12" style="101" bestFit="1" customWidth="1"/>
    <col min="12027" max="12027" width="13.140625" style="101" bestFit="1" customWidth="1"/>
    <col min="12028" max="12031" width="13.42578125" style="101" customWidth="1"/>
    <col min="12032" max="12032" width="13.140625" style="101" bestFit="1" customWidth="1"/>
    <col min="12033" max="12036" width="14.7109375" style="101" customWidth="1"/>
    <col min="12037" max="12037" width="13.140625" style="101" bestFit="1" customWidth="1"/>
    <col min="12038" max="12272" width="8.85546875" style="101"/>
    <col min="12273" max="12277" width="1.42578125" style="101" customWidth="1"/>
    <col min="12278" max="12278" width="37" style="101" customWidth="1"/>
    <col min="12279" max="12279" width="12.28515625" style="101" bestFit="1" customWidth="1"/>
    <col min="12280" max="12280" width="11" style="101" bestFit="1" customWidth="1"/>
    <col min="12281" max="12281" width="12.7109375" style="101" bestFit="1" customWidth="1"/>
    <col min="12282" max="12282" width="12" style="101" bestFit="1" customWidth="1"/>
    <col min="12283" max="12283" width="13.140625" style="101" bestFit="1" customWidth="1"/>
    <col min="12284" max="12287" width="13.42578125" style="101" customWidth="1"/>
    <col min="12288" max="12288" width="13.140625" style="101" bestFit="1" customWidth="1"/>
    <col min="12289" max="12292" width="14.7109375" style="101" customWidth="1"/>
    <col min="12293" max="12293" width="13.140625" style="101" bestFit="1" customWidth="1"/>
    <col min="12294" max="12528" width="8.85546875" style="101"/>
    <col min="12529" max="12533" width="1.42578125" style="101" customWidth="1"/>
    <col min="12534" max="12534" width="37" style="101" customWidth="1"/>
    <col min="12535" max="12535" width="12.28515625" style="101" bestFit="1" customWidth="1"/>
    <col min="12536" max="12536" width="11" style="101" bestFit="1" customWidth="1"/>
    <col min="12537" max="12537" width="12.7109375" style="101" bestFit="1" customWidth="1"/>
    <col min="12538" max="12538" width="12" style="101" bestFit="1" customWidth="1"/>
    <col min="12539" max="12539" width="13.140625" style="101" bestFit="1" customWidth="1"/>
    <col min="12540" max="12543" width="13.42578125" style="101" customWidth="1"/>
    <col min="12544" max="12544" width="13.140625" style="101" bestFit="1" customWidth="1"/>
    <col min="12545" max="12548" width="14.7109375" style="101" customWidth="1"/>
    <col min="12549" max="12549" width="13.140625" style="101" bestFit="1" customWidth="1"/>
    <col min="12550" max="12784" width="8.85546875" style="101"/>
    <col min="12785" max="12789" width="1.42578125" style="101" customWidth="1"/>
    <col min="12790" max="12790" width="37" style="101" customWidth="1"/>
    <col min="12791" max="12791" width="12.28515625" style="101" bestFit="1" customWidth="1"/>
    <col min="12792" max="12792" width="11" style="101" bestFit="1" customWidth="1"/>
    <col min="12793" max="12793" width="12.7109375" style="101" bestFit="1" customWidth="1"/>
    <col min="12794" max="12794" width="12" style="101" bestFit="1" customWidth="1"/>
    <col min="12795" max="12795" width="13.140625" style="101" bestFit="1" customWidth="1"/>
    <col min="12796" max="12799" width="13.42578125" style="101" customWidth="1"/>
    <col min="12800" max="12800" width="13.140625" style="101" bestFit="1" customWidth="1"/>
    <col min="12801" max="12804" width="14.7109375" style="101" customWidth="1"/>
    <col min="12805" max="12805" width="13.140625" style="101" bestFit="1" customWidth="1"/>
    <col min="12806" max="13040" width="8.85546875" style="101"/>
    <col min="13041" max="13045" width="1.42578125" style="101" customWidth="1"/>
    <col min="13046" max="13046" width="37" style="101" customWidth="1"/>
    <col min="13047" max="13047" width="12.28515625" style="101" bestFit="1" customWidth="1"/>
    <col min="13048" max="13048" width="11" style="101" bestFit="1" customWidth="1"/>
    <col min="13049" max="13049" width="12.7109375" style="101" bestFit="1" customWidth="1"/>
    <col min="13050" max="13050" width="12" style="101" bestFit="1" customWidth="1"/>
    <col min="13051" max="13051" width="13.140625" style="101" bestFit="1" customWidth="1"/>
    <col min="13052" max="13055" width="13.42578125" style="101" customWidth="1"/>
    <col min="13056" max="13056" width="13.140625" style="101" bestFit="1" customWidth="1"/>
    <col min="13057" max="13060" width="14.7109375" style="101" customWidth="1"/>
    <col min="13061" max="13061" width="13.140625" style="101" bestFit="1" customWidth="1"/>
    <col min="13062" max="13296" width="8.85546875" style="101"/>
    <col min="13297" max="13301" width="1.42578125" style="101" customWidth="1"/>
    <col min="13302" max="13302" width="37" style="101" customWidth="1"/>
    <col min="13303" max="13303" width="12.28515625" style="101" bestFit="1" customWidth="1"/>
    <col min="13304" max="13304" width="11" style="101" bestFit="1" customWidth="1"/>
    <col min="13305" max="13305" width="12.7109375" style="101" bestFit="1" customWidth="1"/>
    <col min="13306" max="13306" width="12" style="101" bestFit="1" customWidth="1"/>
    <col min="13307" max="13307" width="13.140625" style="101" bestFit="1" customWidth="1"/>
    <col min="13308" max="13311" width="13.42578125" style="101" customWidth="1"/>
    <col min="13312" max="13312" width="13.140625" style="101" bestFit="1" customWidth="1"/>
    <col min="13313" max="13316" width="14.7109375" style="101" customWidth="1"/>
    <col min="13317" max="13317" width="13.140625" style="101" bestFit="1" customWidth="1"/>
    <col min="13318" max="13552" width="8.85546875" style="101"/>
    <col min="13553" max="13557" width="1.42578125" style="101" customWidth="1"/>
    <col min="13558" max="13558" width="37" style="101" customWidth="1"/>
    <col min="13559" max="13559" width="12.28515625" style="101" bestFit="1" customWidth="1"/>
    <col min="13560" max="13560" width="11" style="101" bestFit="1" customWidth="1"/>
    <col min="13561" max="13561" width="12.7109375" style="101" bestFit="1" customWidth="1"/>
    <col min="13562" max="13562" width="12" style="101" bestFit="1" customWidth="1"/>
    <col min="13563" max="13563" width="13.140625" style="101" bestFit="1" customWidth="1"/>
    <col min="13564" max="13567" width="13.42578125" style="101" customWidth="1"/>
    <col min="13568" max="13568" width="13.140625" style="101" bestFit="1" customWidth="1"/>
    <col min="13569" max="13572" width="14.7109375" style="101" customWidth="1"/>
    <col min="13573" max="13573" width="13.140625" style="101" bestFit="1" customWidth="1"/>
    <col min="13574" max="13808" width="8.85546875" style="101"/>
    <col min="13809" max="13813" width="1.42578125" style="101" customWidth="1"/>
    <col min="13814" max="13814" width="37" style="101" customWidth="1"/>
    <col min="13815" max="13815" width="12.28515625" style="101" bestFit="1" customWidth="1"/>
    <col min="13816" max="13816" width="11" style="101" bestFit="1" customWidth="1"/>
    <col min="13817" max="13817" width="12.7109375" style="101" bestFit="1" customWidth="1"/>
    <col min="13818" max="13818" width="12" style="101" bestFit="1" customWidth="1"/>
    <col min="13819" max="13819" width="13.140625" style="101" bestFit="1" customWidth="1"/>
    <col min="13820" max="13823" width="13.42578125" style="101" customWidth="1"/>
    <col min="13824" max="13824" width="13.140625" style="101" bestFit="1" customWidth="1"/>
    <col min="13825" max="13828" width="14.7109375" style="101" customWidth="1"/>
    <col min="13829" max="13829" width="13.140625" style="101" bestFit="1" customWidth="1"/>
    <col min="13830" max="14064" width="8.85546875" style="101"/>
    <col min="14065" max="14069" width="1.42578125" style="101" customWidth="1"/>
    <col min="14070" max="14070" width="37" style="101" customWidth="1"/>
    <col min="14071" max="14071" width="12.28515625" style="101" bestFit="1" customWidth="1"/>
    <col min="14072" max="14072" width="11" style="101" bestFit="1" customWidth="1"/>
    <col min="14073" max="14073" width="12.7109375" style="101" bestFit="1" customWidth="1"/>
    <col min="14074" max="14074" width="12" style="101" bestFit="1" customWidth="1"/>
    <col min="14075" max="14075" width="13.140625" style="101" bestFit="1" customWidth="1"/>
    <col min="14076" max="14079" width="13.42578125" style="101" customWidth="1"/>
    <col min="14080" max="14080" width="13.140625" style="101" bestFit="1" customWidth="1"/>
    <col min="14081" max="14084" width="14.7109375" style="101" customWidth="1"/>
    <col min="14085" max="14085" width="13.140625" style="101" bestFit="1" customWidth="1"/>
    <col min="14086" max="14320" width="8.85546875" style="101"/>
    <col min="14321" max="14325" width="1.42578125" style="101" customWidth="1"/>
    <col min="14326" max="14326" width="37" style="101" customWidth="1"/>
    <col min="14327" max="14327" width="12.28515625" style="101" bestFit="1" customWidth="1"/>
    <col min="14328" max="14328" width="11" style="101" bestFit="1" customWidth="1"/>
    <col min="14329" max="14329" width="12.7109375" style="101" bestFit="1" customWidth="1"/>
    <col min="14330" max="14330" width="12" style="101" bestFit="1" customWidth="1"/>
    <col min="14331" max="14331" width="13.140625" style="101" bestFit="1" customWidth="1"/>
    <col min="14332" max="14335" width="13.42578125" style="101" customWidth="1"/>
    <col min="14336" max="14336" width="13.140625" style="101" bestFit="1" customWidth="1"/>
    <col min="14337" max="14340" width="14.7109375" style="101" customWidth="1"/>
    <col min="14341" max="14341" width="13.140625" style="101" bestFit="1" customWidth="1"/>
    <col min="14342" max="14576" width="8.85546875" style="101"/>
    <col min="14577" max="14581" width="1.42578125" style="101" customWidth="1"/>
    <col min="14582" max="14582" width="37" style="101" customWidth="1"/>
    <col min="14583" max="14583" width="12.28515625" style="101" bestFit="1" customWidth="1"/>
    <col min="14584" max="14584" width="11" style="101" bestFit="1" customWidth="1"/>
    <col min="14585" max="14585" width="12.7109375" style="101" bestFit="1" customWidth="1"/>
    <col min="14586" max="14586" width="12" style="101" bestFit="1" customWidth="1"/>
    <col min="14587" max="14587" width="13.140625" style="101" bestFit="1" customWidth="1"/>
    <col min="14588" max="14591" width="13.42578125" style="101" customWidth="1"/>
    <col min="14592" max="14592" width="13.140625" style="101" bestFit="1" customWidth="1"/>
    <col min="14593" max="14596" width="14.7109375" style="101" customWidth="1"/>
    <col min="14597" max="14597" width="13.140625" style="101" bestFit="1" customWidth="1"/>
    <col min="14598" max="14832" width="8.85546875" style="101"/>
    <col min="14833" max="14837" width="1.42578125" style="101" customWidth="1"/>
    <col min="14838" max="14838" width="37" style="101" customWidth="1"/>
    <col min="14839" max="14839" width="12.28515625" style="101" bestFit="1" customWidth="1"/>
    <col min="14840" max="14840" width="11" style="101" bestFit="1" customWidth="1"/>
    <col min="14841" max="14841" width="12.7109375" style="101" bestFit="1" customWidth="1"/>
    <col min="14842" max="14842" width="12" style="101" bestFit="1" customWidth="1"/>
    <col min="14843" max="14843" width="13.140625" style="101" bestFit="1" customWidth="1"/>
    <col min="14844" max="14847" width="13.42578125" style="101" customWidth="1"/>
    <col min="14848" max="14848" width="13.140625" style="101" bestFit="1" customWidth="1"/>
    <col min="14849" max="14852" width="14.7109375" style="101" customWidth="1"/>
    <col min="14853" max="14853" width="13.140625" style="101" bestFit="1" customWidth="1"/>
    <col min="14854" max="15088" width="8.85546875" style="101"/>
    <col min="15089" max="15093" width="1.42578125" style="101" customWidth="1"/>
    <col min="15094" max="15094" width="37" style="101" customWidth="1"/>
    <col min="15095" max="15095" width="12.28515625" style="101" bestFit="1" customWidth="1"/>
    <col min="15096" max="15096" width="11" style="101" bestFit="1" customWidth="1"/>
    <col min="15097" max="15097" width="12.7109375" style="101" bestFit="1" customWidth="1"/>
    <col min="15098" max="15098" width="12" style="101" bestFit="1" customWidth="1"/>
    <col min="15099" max="15099" width="13.140625" style="101" bestFit="1" customWidth="1"/>
    <col min="15100" max="15103" width="13.42578125" style="101" customWidth="1"/>
    <col min="15104" max="15104" width="13.140625" style="101" bestFit="1" customWidth="1"/>
    <col min="15105" max="15108" width="14.7109375" style="101" customWidth="1"/>
    <col min="15109" max="15109" width="13.140625" style="101" bestFit="1" customWidth="1"/>
    <col min="15110" max="15344" width="8.85546875" style="101"/>
    <col min="15345" max="15349" width="1.42578125" style="101" customWidth="1"/>
    <col min="15350" max="15350" width="37" style="101" customWidth="1"/>
    <col min="15351" max="15351" width="12.28515625" style="101" bestFit="1" customWidth="1"/>
    <col min="15352" max="15352" width="11" style="101" bestFit="1" customWidth="1"/>
    <col min="15353" max="15353" width="12.7109375" style="101" bestFit="1" customWidth="1"/>
    <col min="15354" max="15354" width="12" style="101" bestFit="1" customWidth="1"/>
    <col min="15355" max="15355" width="13.140625" style="101" bestFit="1" customWidth="1"/>
    <col min="15356" max="15359" width="13.42578125" style="101" customWidth="1"/>
    <col min="15360" max="15360" width="13.140625" style="101" bestFit="1" customWidth="1"/>
    <col min="15361" max="15364" width="14.7109375" style="101" customWidth="1"/>
    <col min="15365" max="15365" width="13.140625" style="101" bestFit="1" customWidth="1"/>
    <col min="15366" max="15600" width="8.85546875" style="101"/>
    <col min="15601" max="15605" width="1.42578125" style="101" customWidth="1"/>
    <col min="15606" max="15606" width="37" style="101" customWidth="1"/>
    <col min="15607" max="15607" width="12.28515625" style="101" bestFit="1" customWidth="1"/>
    <col min="15608" max="15608" width="11" style="101" bestFit="1" customWidth="1"/>
    <col min="15609" max="15609" width="12.7109375" style="101" bestFit="1" customWidth="1"/>
    <col min="15610" max="15610" width="12" style="101" bestFit="1" customWidth="1"/>
    <col min="15611" max="15611" width="13.140625" style="101" bestFit="1" customWidth="1"/>
    <col min="15612" max="15615" width="13.42578125" style="101" customWidth="1"/>
    <col min="15616" max="15616" width="13.140625" style="101" bestFit="1" customWidth="1"/>
    <col min="15617" max="15620" width="14.7109375" style="101" customWidth="1"/>
    <col min="15621" max="15621" width="13.140625" style="101" bestFit="1" customWidth="1"/>
    <col min="15622" max="15856" width="8.85546875" style="101"/>
    <col min="15857" max="15861" width="1.42578125" style="101" customWidth="1"/>
    <col min="15862" max="15862" width="37" style="101" customWidth="1"/>
    <col min="15863" max="15863" width="12.28515625" style="101" bestFit="1" customWidth="1"/>
    <col min="15864" max="15864" width="11" style="101" bestFit="1" customWidth="1"/>
    <col min="15865" max="15865" width="12.7109375" style="101" bestFit="1" customWidth="1"/>
    <col min="15866" max="15866" width="12" style="101" bestFit="1" customWidth="1"/>
    <col min="15867" max="15867" width="13.140625" style="101" bestFit="1" customWidth="1"/>
    <col min="15868" max="15871" width="13.42578125" style="101" customWidth="1"/>
    <col min="15872" max="15872" width="13.140625" style="101" bestFit="1" customWidth="1"/>
    <col min="15873" max="15876" width="14.7109375" style="101" customWidth="1"/>
    <col min="15877" max="15877" width="13.140625" style="101" bestFit="1" customWidth="1"/>
    <col min="15878" max="16112" width="8.85546875" style="101"/>
    <col min="16113" max="16117" width="1.42578125" style="101" customWidth="1"/>
    <col min="16118" max="16118" width="37" style="101" customWidth="1"/>
    <col min="16119" max="16119" width="12.28515625" style="101" bestFit="1" customWidth="1"/>
    <col min="16120" max="16120" width="11" style="101" bestFit="1" customWidth="1"/>
    <col min="16121" max="16121" width="12.7109375" style="101" bestFit="1" customWidth="1"/>
    <col min="16122" max="16122" width="12" style="101" bestFit="1" customWidth="1"/>
    <col min="16123" max="16123" width="13.140625" style="101" bestFit="1" customWidth="1"/>
    <col min="16124" max="16127" width="13.42578125" style="101" customWidth="1"/>
    <col min="16128" max="16128" width="13.140625" style="101" bestFit="1" customWidth="1"/>
    <col min="16129" max="16132" width="14.7109375" style="101" customWidth="1"/>
    <col min="16133" max="16133" width="13.140625" style="101" bestFit="1" customWidth="1"/>
    <col min="16134" max="16384" width="8.85546875" style="101"/>
  </cols>
  <sheetData>
    <row r="1" spans="1:16" s="12" customFormat="1" ht="15" x14ac:dyDescent="0.25">
      <c r="A1" s="11" t="s">
        <v>3</v>
      </c>
      <c r="B1" s="11"/>
      <c r="C1" s="11"/>
      <c r="D1" s="11"/>
    </row>
    <row r="2" spans="1:16" s="12" customFormat="1" ht="15" x14ac:dyDescent="0.25">
      <c r="A2" s="11" t="s">
        <v>92</v>
      </c>
      <c r="B2" s="11"/>
      <c r="C2" s="11"/>
      <c r="D2" s="11"/>
    </row>
    <row r="3" spans="1:16" s="12" customFormat="1" ht="15" x14ac:dyDescent="0.25">
      <c r="A3" s="13" t="s">
        <v>5</v>
      </c>
      <c r="B3" s="11"/>
      <c r="C3" s="11"/>
      <c r="D3" s="11"/>
    </row>
    <row r="4" spans="1:16" s="12" customFormat="1" x14ac:dyDescent="0.2">
      <c r="A4" s="95" t="s">
        <v>93</v>
      </c>
      <c r="B4" s="96"/>
      <c r="C4" s="96"/>
      <c r="D4" s="96"/>
      <c r="E4" s="96"/>
      <c r="F4" s="96"/>
    </row>
    <row r="5" spans="1:16" s="12" customFormat="1" ht="33.75" customHeight="1" x14ac:dyDescent="0.2">
      <c r="A5" s="13"/>
      <c r="B5" s="13"/>
      <c r="C5" s="13"/>
      <c r="D5" s="13"/>
      <c r="F5" s="97"/>
      <c r="G5" s="98" t="s">
        <v>94</v>
      </c>
      <c r="H5" s="98"/>
      <c r="I5" s="98"/>
      <c r="J5" s="98"/>
      <c r="K5" s="98" t="s">
        <v>94</v>
      </c>
      <c r="L5" s="98"/>
      <c r="M5" s="98"/>
      <c r="N5" s="98"/>
      <c r="O5" s="99" t="s">
        <v>94</v>
      </c>
      <c r="P5" s="99"/>
    </row>
    <row r="6" spans="1:16" s="12" customFormat="1" x14ac:dyDescent="0.2">
      <c r="A6" s="13"/>
      <c r="B6" s="13"/>
      <c r="C6" s="13"/>
      <c r="D6" s="13"/>
      <c r="E6" s="100"/>
      <c r="F6" s="100"/>
      <c r="G6" s="100" t="s">
        <v>10</v>
      </c>
      <c r="H6" s="100" t="s">
        <v>11</v>
      </c>
      <c r="I6" s="100" t="s">
        <v>61</v>
      </c>
      <c r="J6" s="100" t="s">
        <v>13</v>
      </c>
      <c r="K6" s="100" t="s">
        <v>10</v>
      </c>
      <c r="L6" s="100" t="s">
        <v>11</v>
      </c>
      <c r="M6" s="100" t="s">
        <v>61</v>
      </c>
      <c r="N6" s="100" t="s">
        <v>13</v>
      </c>
      <c r="O6" s="100" t="s">
        <v>10</v>
      </c>
      <c r="P6" s="100" t="s">
        <v>11</v>
      </c>
    </row>
    <row r="7" spans="1:16" s="12" customFormat="1" x14ac:dyDescent="0.2">
      <c r="A7" s="13"/>
      <c r="B7" s="13"/>
      <c r="C7" s="13"/>
      <c r="D7" s="13"/>
      <c r="E7" s="18"/>
      <c r="F7" s="18"/>
      <c r="G7" s="18">
        <v>2018</v>
      </c>
      <c r="H7" s="18">
        <v>2018</v>
      </c>
      <c r="I7" s="18">
        <v>2018</v>
      </c>
      <c r="J7" s="18">
        <v>2018</v>
      </c>
      <c r="K7" s="18">
        <v>2019</v>
      </c>
      <c r="L7" s="18">
        <f>K7</f>
        <v>2019</v>
      </c>
      <c r="M7" s="18">
        <f>L7</f>
        <v>2019</v>
      </c>
      <c r="N7" s="18">
        <f>M7</f>
        <v>2019</v>
      </c>
      <c r="O7" s="18">
        <v>2020</v>
      </c>
      <c r="P7" s="18">
        <v>2020</v>
      </c>
    </row>
    <row r="8" spans="1:16" x14ac:dyDescent="0.2">
      <c r="A8" s="13"/>
      <c r="B8" s="13"/>
      <c r="C8" s="13"/>
      <c r="D8" s="13"/>
      <c r="E8" s="18"/>
      <c r="F8" s="18"/>
      <c r="G8" s="18"/>
      <c r="H8" s="18"/>
      <c r="I8" s="18"/>
      <c r="J8" s="18"/>
      <c r="K8" s="18"/>
      <c r="L8" s="18"/>
      <c r="M8" s="18"/>
      <c r="N8" s="18"/>
      <c r="O8" s="18"/>
      <c r="P8" s="18"/>
    </row>
    <row r="9" spans="1:16" x14ac:dyDescent="0.2">
      <c r="A9" s="102" t="s">
        <v>95</v>
      </c>
      <c r="B9" s="102"/>
      <c r="G9" s="103"/>
      <c r="K9" s="103"/>
      <c r="O9" s="103"/>
      <c r="P9" s="103"/>
    </row>
    <row r="10" spans="1:16" s="104" customFormat="1" x14ac:dyDescent="0.2">
      <c r="B10" s="105" t="s">
        <v>96</v>
      </c>
      <c r="G10" s="106">
        <v>1976157</v>
      </c>
      <c r="H10" s="106">
        <v>2049546</v>
      </c>
      <c r="I10" s="106">
        <v>2094850</v>
      </c>
      <c r="J10" s="106">
        <v>2160979</v>
      </c>
      <c r="K10" s="106">
        <v>2256851</v>
      </c>
      <c r="L10" s="106">
        <v>2501199</v>
      </c>
      <c r="M10" s="106">
        <v>2621250</v>
      </c>
      <c r="N10" s="106">
        <v>2671908</v>
      </c>
      <c r="O10" s="106">
        <v>2702776</v>
      </c>
      <c r="P10" s="106">
        <v>2839670</v>
      </c>
    </row>
    <row r="11" spans="1:16" x14ac:dyDescent="0.2">
      <c r="A11" s="102"/>
      <c r="B11" s="107" t="s">
        <v>97</v>
      </c>
      <c r="G11" s="69">
        <v>2487</v>
      </c>
      <c r="H11" s="69">
        <v>961</v>
      </c>
      <c r="I11" s="69">
        <v>1140</v>
      </c>
      <c r="J11" s="69">
        <v>1747</v>
      </c>
      <c r="K11" s="69">
        <v>1876</v>
      </c>
      <c r="L11" s="69">
        <v>-132</v>
      </c>
      <c r="M11" s="69">
        <v>613</v>
      </c>
      <c r="N11" s="69">
        <v>548</v>
      </c>
      <c r="O11" s="69">
        <v>2307</v>
      </c>
      <c r="P11" s="69">
        <v>2935</v>
      </c>
    </row>
    <row r="12" spans="1:16" x14ac:dyDescent="0.2">
      <c r="A12" s="102"/>
      <c r="B12" s="107" t="s">
        <v>98</v>
      </c>
      <c r="G12" s="69">
        <v>60909</v>
      </c>
      <c r="H12" s="69">
        <v>61870</v>
      </c>
      <c r="I12" s="69">
        <v>63010</v>
      </c>
      <c r="J12" s="69">
        <v>64757</v>
      </c>
      <c r="K12" s="69">
        <v>66633</v>
      </c>
      <c r="L12" s="69">
        <v>66501</v>
      </c>
      <c r="M12" s="69">
        <v>67114</v>
      </c>
      <c r="N12" s="69">
        <v>67662</v>
      </c>
      <c r="O12" s="69">
        <v>69969</v>
      </c>
      <c r="P12" s="69">
        <v>72904</v>
      </c>
    </row>
    <row r="13" spans="1:16" x14ac:dyDescent="0.2">
      <c r="A13" s="102"/>
      <c r="B13" s="107" t="s">
        <v>99</v>
      </c>
      <c r="G13" s="69">
        <v>59666</v>
      </c>
      <c r="H13" s="69">
        <v>61390</v>
      </c>
      <c r="I13" s="69">
        <v>62440</v>
      </c>
      <c r="J13" s="69">
        <v>63884</v>
      </c>
      <c r="K13" s="69">
        <v>65695</v>
      </c>
      <c r="L13" s="69">
        <v>66567</v>
      </c>
      <c r="M13" s="69">
        <v>66808</v>
      </c>
      <c r="N13" s="69">
        <v>67388</v>
      </c>
      <c r="O13" s="69">
        <v>68816</v>
      </c>
      <c r="P13" s="69">
        <v>71437</v>
      </c>
    </row>
    <row r="14" spans="1:16" s="104" customFormat="1" x14ac:dyDescent="0.2">
      <c r="B14" s="105" t="s">
        <v>100</v>
      </c>
      <c r="G14" s="108">
        <v>11.04</v>
      </c>
      <c r="H14" s="108">
        <v>11.13</v>
      </c>
      <c r="I14" s="108">
        <v>11.18</v>
      </c>
      <c r="J14" s="108">
        <v>11.28</v>
      </c>
      <c r="K14" s="108">
        <v>11.45</v>
      </c>
      <c r="L14" s="108">
        <v>12.52</v>
      </c>
      <c r="M14" s="108">
        <v>13.08</v>
      </c>
      <c r="N14" s="108">
        <v>13.22</v>
      </c>
      <c r="O14" s="108">
        <v>13.09</v>
      </c>
      <c r="P14" s="108">
        <v>13.25</v>
      </c>
    </row>
    <row r="15" spans="1:16" s="104" customFormat="1" x14ac:dyDescent="0.2">
      <c r="B15" s="105" t="s">
        <v>101</v>
      </c>
      <c r="G15" s="109">
        <v>0.12</v>
      </c>
      <c r="H15" s="109">
        <v>0.13</v>
      </c>
      <c r="I15" s="109">
        <v>0.13</v>
      </c>
      <c r="J15" s="109">
        <v>0.1</v>
      </c>
      <c r="K15" s="109">
        <v>0.04</v>
      </c>
      <c r="L15" s="109">
        <v>0.12</v>
      </c>
      <c r="M15" s="109">
        <v>0.17</v>
      </c>
      <c r="N15" s="109">
        <v>0.17</v>
      </c>
      <c r="O15" s="109">
        <v>0.14000000000000001</v>
      </c>
      <c r="P15" s="109">
        <v>0.06</v>
      </c>
    </row>
    <row r="16" spans="1:16" s="104" customFormat="1" x14ac:dyDescent="0.2">
      <c r="B16" s="105" t="s">
        <v>102</v>
      </c>
      <c r="G16" s="109">
        <v>0.12</v>
      </c>
      <c r="H16" s="109">
        <v>0.13</v>
      </c>
      <c r="I16" s="109">
        <v>0.13</v>
      </c>
      <c r="J16" s="109">
        <v>0.1</v>
      </c>
      <c r="K16" s="109">
        <v>0.04</v>
      </c>
      <c r="L16" s="109">
        <v>0.13</v>
      </c>
      <c r="M16" s="109">
        <v>0.17</v>
      </c>
      <c r="N16" s="109">
        <v>0.17</v>
      </c>
      <c r="O16" s="109">
        <v>0.14000000000000001</v>
      </c>
      <c r="P16" s="109">
        <v>0.06</v>
      </c>
    </row>
    <row r="17" spans="1:16" x14ac:dyDescent="0.2">
      <c r="G17" s="110"/>
      <c r="H17" s="110"/>
      <c r="I17" s="110"/>
      <c r="J17" s="110"/>
      <c r="K17" s="110"/>
      <c r="L17" s="110"/>
      <c r="M17" s="110"/>
      <c r="N17" s="110"/>
      <c r="O17" s="110"/>
      <c r="P17" s="110"/>
    </row>
    <row r="18" spans="1:16" x14ac:dyDescent="0.2">
      <c r="A18" s="102" t="s">
        <v>103</v>
      </c>
      <c r="B18" s="102"/>
      <c r="G18" s="111"/>
      <c r="H18" s="111"/>
      <c r="I18" s="111"/>
      <c r="J18" s="111"/>
      <c r="K18" s="111"/>
      <c r="L18" s="111"/>
      <c r="M18" s="111"/>
      <c r="N18" s="111"/>
      <c r="O18" s="111"/>
      <c r="P18" s="111"/>
    </row>
    <row r="19" spans="1:16" s="104" customFormat="1" x14ac:dyDescent="0.2">
      <c r="B19" s="105" t="s">
        <v>14</v>
      </c>
      <c r="G19" s="106">
        <v>886649</v>
      </c>
      <c r="H19" s="106">
        <v>975497</v>
      </c>
      <c r="I19" s="106">
        <v>1004749</v>
      </c>
      <c r="J19" s="106">
        <v>1096812</v>
      </c>
      <c r="K19" s="106">
        <v>1233379</v>
      </c>
      <c r="L19" s="106">
        <v>1319087</v>
      </c>
      <c r="M19" s="106">
        <v>1428040</v>
      </c>
      <c r="N19" s="106">
        <v>1562561</v>
      </c>
      <c r="O19" s="106">
        <v>1723474</v>
      </c>
      <c r="P19" s="106">
        <v>1892537</v>
      </c>
    </row>
    <row r="20" spans="1:16" x14ac:dyDescent="0.2">
      <c r="A20" s="102"/>
      <c r="B20" s="107" t="s">
        <v>104</v>
      </c>
      <c r="D20" s="12"/>
      <c r="E20" s="12"/>
      <c r="G20" s="69">
        <v>3335</v>
      </c>
      <c r="H20" s="69">
        <v>1978</v>
      </c>
      <c r="I20" s="69">
        <v>2519</v>
      </c>
      <c r="J20" s="69">
        <v>3982</v>
      </c>
      <c r="K20" s="69">
        <v>4724</v>
      </c>
      <c r="L20" s="69">
        <v>1687</v>
      </c>
      <c r="M20" s="69">
        <v>3126</v>
      </c>
      <c r="N20" s="69">
        <v>4423</v>
      </c>
      <c r="O20" s="69">
        <v>6956</v>
      </c>
      <c r="P20" s="69">
        <v>2749</v>
      </c>
    </row>
    <row r="21" spans="1:16" x14ac:dyDescent="0.2">
      <c r="A21" s="102"/>
      <c r="B21" s="107" t="s">
        <v>98</v>
      </c>
      <c r="D21" s="12"/>
      <c r="E21" s="12"/>
      <c r="G21" s="69">
        <v>29339</v>
      </c>
      <c r="H21" s="69">
        <v>31317</v>
      </c>
      <c r="I21" s="69">
        <v>33836</v>
      </c>
      <c r="J21" s="69">
        <v>37818</v>
      </c>
      <c r="K21" s="69">
        <v>42542</v>
      </c>
      <c r="L21" s="69">
        <v>44229</v>
      </c>
      <c r="M21" s="69">
        <v>47355</v>
      </c>
      <c r="N21" s="69">
        <v>51778</v>
      </c>
      <c r="O21" s="69">
        <v>58734</v>
      </c>
      <c r="P21" s="69">
        <v>61483</v>
      </c>
    </row>
    <row r="22" spans="1:16" x14ac:dyDescent="0.2">
      <c r="A22" s="102"/>
      <c r="B22" s="107" t="s">
        <v>99</v>
      </c>
      <c r="D22" s="12"/>
      <c r="E22" s="12"/>
      <c r="G22" s="69">
        <v>27672</v>
      </c>
      <c r="H22" s="69">
        <v>30328</v>
      </c>
      <c r="I22" s="69">
        <v>32577</v>
      </c>
      <c r="J22" s="69">
        <v>35827</v>
      </c>
      <c r="K22" s="69">
        <v>40180</v>
      </c>
      <c r="L22" s="69">
        <v>43386</v>
      </c>
      <c r="M22" s="69">
        <v>45792</v>
      </c>
      <c r="N22" s="69">
        <v>49567</v>
      </c>
      <c r="O22" s="69">
        <v>55256</v>
      </c>
      <c r="P22" s="69">
        <v>60109</v>
      </c>
    </row>
    <row r="23" spans="1:16" s="104" customFormat="1" x14ac:dyDescent="0.2">
      <c r="B23" s="105" t="s">
        <v>100</v>
      </c>
      <c r="G23" s="108">
        <v>10.68</v>
      </c>
      <c r="H23" s="108">
        <v>10.72</v>
      </c>
      <c r="I23" s="108">
        <v>10.28</v>
      </c>
      <c r="J23" s="108">
        <v>10.199999999999999</v>
      </c>
      <c r="K23" s="108">
        <v>10.23</v>
      </c>
      <c r="L23" s="108">
        <v>10.130000000000001</v>
      </c>
      <c r="M23" s="108">
        <v>10.4</v>
      </c>
      <c r="N23" s="108">
        <v>10.51</v>
      </c>
      <c r="O23" s="108">
        <v>10.4</v>
      </c>
      <c r="P23" s="108">
        <v>10.5</v>
      </c>
    </row>
    <row r="24" spans="1:16" s="104" customFormat="1" x14ac:dyDescent="0.2">
      <c r="B24" s="105" t="s">
        <v>101</v>
      </c>
      <c r="G24" s="109">
        <v>0.25</v>
      </c>
      <c r="H24" s="109">
        <v>0.23</v>
      </c>
      <c r="I24" s="109">
        <v>0.11</v>
      </c>
      <c r="J24" s="109">
        <v>0.03</v>
      </c>
      <c r="K24" s="109">
        <v>-0.04</v>
      </c>
      <c r="L24" s="109">
        <v>-0.06</v>
      </c>
      <c r="M24" s="109">
        <v>0.01</v>
      </c>
      <c r="N24" s="109">
        <v>0.03</v>
      </c>
      <c r="O24" s="109">
        <v>0.02</v>
      </c>
      <c r="P24" s="109">
        <v>0.04</v>
      </c>
    </row>
    <row r="25" spans="1:16" s="104" customFormat="1" x14ac:dyDescent="0.2">
      <c r="B25" s="105" t="s">
        <v>102</v>
      </c>
      <c r="G25" s="109">
        <v>0.11</v>
      </c>
      <c r="H25" s="109">
        <v>0.11</v>
      </c>
      <c r="I25" s="109">
        <v>0.1</v>
      </c>
      <c r="J25" s="109">
        <v>0.06</v>
      </c>
      <c r="K25" s="109">
        <v>0.02</v>
      </c>
      <c r="L25" s="109">
        <v>0.03</v>
      </c>
      <c r="M25" s="109">
        <v>0.06</v>
      </c>
      <c r="N25" s="109">
        <v>7.0000000000000007E-2</v>
      </c>
      <c r="O25" s="109">
        <v>0.04</v>
      </c>
      <c r="P25" s="109">
        <v>0.08</v>
      </c>
    </row>
    <row r="26" spans="1:16" ht="12.75" customHeight="1" x14ac:dyDescent="0.2">
      <c r="G26" s="78"/>
      <c r="H26" s="78"/>
      <c r="I26" s="78"/>
      <c r="J26" s="78"/>
      <c r="K26" s="78"/>
      <c r="L26" s="78"/>
      <c r="M26" s="78"/>
      <c r="N26" s="78"/>
      <c r="O26" s="78"/>
      <c r="P26" s="78"/>
    </row>
    <row r="27" spans="1:16" x14ac:dyDescent="0.2">
      <c r="A27" s="102" t="s">
        <v>105</v>
      </c>
      <c r="B27" s="102"/>
      <c r="G27" s="111"/>
      <c r="H27" s="111"/>
      <c r="I27" s="111"/>
      <c r="J27" s="111"/>
      <c r="K27" s="111"/>
      <c r="L27" s="111"/>
      <c r="M27" s="111"/>
      <c r="N27" s="111"/>
      <c r="O27" s="111"/>
      <c r="P27" s="111"/>
    </row>
    <row r="28" spans="1:16" s="104" customFormat="1" x14ac:dyDescent="0.2">
      <c r="B28" s="105" t="s">
        <v>14</v>
      </c>
      <c r="G28" s="106">
        <v>540182</v>
      </c>
      <c r="H28" s="106">
        <v>568071</v>
      </c>
      <c r="I28" s="106">
        <v>562307</v>
      </c>
      <c r="J28" s="106">
        <v>567137</v>
      </c>
      <c r="K28" s="106">
        <v>630472</v>
      </c>
      <c r="L28" s="106">
        <v>677136</v>
      </c>
      <c r="M28" s="106">
        <v>741434</v>
      </c>
      <c r="N28" s="106">
        <v>746392</v>
      </c>
      <c r="O28" s="106">
        <v>793453</v>
      </c>
      <c r="P28" s="106">
        <v>785368</v>
      </c>
    </row>
    <row r="29" spans="1:16" x14ac:dyDescent="0.2">
      <c r="A29" s="102"/>
      <c r="B29" s="107" t="s">
        <v>104</v>
      </c>
      <c r="D29" s="12"/>
      <c r="E29" s="12"/>
      <c r="G29" s="69">
        <v>1543</v>
      </c>
      <c r="H29" s="69">
        <v>1535</v>
      </c>
      <c r="I29" s="69">
        <v>1320</v>
      </c>
      <c r="J29" s="69">
        <v>1962</v>
      </c>
      <c r="K29" s="69">
        <v>1470</v>
      </c>
      <c r="L29" s="69">
        <v>343</v>
      </c>
      <c r="M29" s="69">
        <v>1490</v>
      </c>
      <c r="N29" s="69">
        <v>2037</v>
      </c>
      <c r="O29" s="69">
        <v>2901</v>
      </c>
      <c r="P29" s="69">
        <v>1750</v>
      </c>
    </row>
    <row r="30" spans="1:16" x14ac:dyDescent="0.2">
      <c r="A30" s="102"/>
      <c r="B30" s="107" t="s">
        <v>98</v>
      </c>
      <c r="D30" s="12"/>
      <c r="E30" s="12"/>
      <c r="G30" s="69">
        <v>21260</v>
      </c>
      <c r="H30" s="69">
        <v>22795</v>
      </c>
      <c r="I30" s="69">
        <v>24115</v>
      </c>
      <c r="J30" s="69">
        <v>26077</v>
      </c>
      <c r="K30" s="69">
        <v>27547</v>
      </c>
      <c r="L30" s="69">
        <v>27890</v>
      </c>
      <c r="M30" s="69">
        <v>29380</v>
      </c>
      <c r="N30" s="69">
        <v>31417</v>
      </c>
      <c r="O30" s="69">
        <v>34318</v>
      </c>
      <c r="P30" s="69">
        <v>36068</v>
      </c>
    </row>
    <row r="31" spans="1:16" x14ac:dyDescent="0.2">
      <c r="A31" s="102"/>
      <c r="B31" s="107" t="s">
        <v>99</v>
      </c>
      <c r="D31" s="12"/>
      <c r="E31" s="12"/>
      <c r="G31" s="69">
        <v>20489</v>
      </c>
      <c r="H31" s="69">
        <v>22028</v>
      </c>
      <c r="I31" s="69">
        <v>23455</v>
      </c>
      <c r="J31" s="69">
        <v>25096</v>
      </c>
      <c r="K31" s="69">
        <v>26812</v>
      </c>
      <c r="L31" s="69">
        <v>27719</v>
      </c>
      <c r="M31" s="69">
        <v>28635</v>
      </c>
      <c r="N31" s="69">
        <v>30399</v>
      </c>
      <c r="O31" s="69">
        <v>32868</v>
      </c>
      <c r="P31" s="69">
        <v>35193</v>
      </c>
    </row>
    <row r="32" spans="1:16" s="104" customFormat="1" x14ac:dyDescent="0.2">
      <c r="B32" s="105" t="s">
        <v>100</v>
      </c>
      <c r="G32" s="108">
        <v>8.7899999999999991</v>
      </c>
      <c r="H32" s="108">
        <v>8.6</v>
      </c>
      <c r="I32" s="108">
        <v>7.99</v>
      </c>
      <c r="J32" s="108">
        <v>7.53</v>
      </c>
      <c r="K32" s="108">
        <v>7.84</v>
      </c>
      <c r="L32" s="108">
        <v>8.14</v>
      </c>
      <c r="M32" s="108">
        <v>8.6300000000000008</v>
      </c>
      <c r="N32" s="108">
        <v>8.18</v>
      </c>
      <c r="O32" s="108">
        <v>8.0500000000000007</v>
      </c>
      <c r="P32" s="108">
        <v>7.44</v>
      </c>
    </row>
    <row r="33" spans="1:16" s="104" customFormat="1" x14ac:dyDescent="0.2">
      <c r="B33" s="105" t="s">
        <v>101</v>
      </c>
      <c r="G33" s="109">
        <v>0.18</v>
      </c>
      <c r="H33" s="109">
        <v>0.1</v>
      </c>
      <c r="I33" s="109">
        <v>-0.03</v>
      </c>
      <c r="J33" s="109">
        <v>-0.13</v>
      </c>
      <c r="K33" s="109">
        <v>-0.11</v>
      </c>
      <c r="L33" s="109">
        <v>-0.05</v>
      </c>
      <c r="M33" s="109">
        <v>0.08</v>
      </c>
      <c r="N33" s="109">
        <v>0.09</v>
      </c>
      <c r="O33" s="109">
        <v>0.03</v>
      </c>
      <c r="P33" s="109">
        <v>-0.09</v>
      </c>
    </row>
    <row r="34" spans="1:16" s="104" customFormat="1" x14ac:dyDescent="0.2">
      <c r="B34" s="105" t="s">
        <v>102</v>
      </c>
      <c r="G34" s="109">
        <v>0.18</v>
      </c>
      <c r="H34" s="109">
        <v>0.18</v>
      </c>
      <c r="I34" s="109">
        <v>0.14000000000000001</v>
      </c>
      <c r="J34" s="109">
        <v>0.06</v>
      </c>
      <c r="K34" s="109">
        <v>7.0000000000000007E-2</v>
      </c>
      <c r="L34" s="109">
        <v>0.12</v>
      </c>
      <c r="M34" s="109">
        <v>0.17</v>
      </c>
      <c r="N34" s="109">
        <v>0.18</v>
      </c>
      <c r="O34" s="109">
        <v>0.12</v>
      </c>
      <c r="P34" s="109">
        <v>0.13</v>
      </c>
    </row>
    <row r="35" spans="1:16" x14ac:dyDescent="0.2">
      <c r="G35" s="110"/>
      <c r="H35" s="110"/>
      <c r="I35" s="110"/>
      <c r="J35" s="110"/>
      <c r="K35" s="110"/>
      <c r="L35" s="110"/>
      <c r="M35" s="110"/>
      <c r="N35" s="110"/>
      <c r="O35" s="110"/>
      <c r="P35" s="110"/>
    </row>
    <row r="36" spans="1:16" x14ac:dyDescent="0.2">
      <c r="A36" s="102" t="s">
        <v>106</v>
      </c>
      <c r="B36" s="102"/>
      <c r="G36" s="111"/>
      <c r="H36" s="111"/>
      <c r="I36" s="111"/>
      <c r="J36" s="111"/>
      <c r="K36" s="111"/>
      <c r="L36" s="111"/>
      <c r="M36" s="111"/>
      <c r="N36" s="111"/>
      <c r="O36" s="111"/>
      <c r="P36" s="111"/>
    </row>
    <row r="37" spans="1:16" s="104" customFormat="1" x14ac:dyDescent="0.2">
      <c r="B37" s="105" t="s">
        <v>14</v>
      </c>
      <c r="G37" s="106">
        <v>199117</v>
      </c>
      <c r="H37" s="106">
        <v>221252</v>
      </c>
      <c r="I37" s="106">
        <v>248691</v>
      </c>
      <c r="J37" s="106">
        <v>276756</v>
      </c>
      <c r="K37" s="106">
        <v>319602</v>
      </c>
      <c r="L37" s="106">
        <v>349494</v>
      </c>
      <c r="M37" s="106">
        <v>382304</v>
      </c>
      <c r="N37" s="106">
        <v>418121</v>
      </c>
      <c r="O37" s="106">
        <v>483660</v>
      </c>
      <c r="P37" s="106">
        <v>569140</v>
      </c>
    </row>
    <row r="38" spans="1:16" x14ac:dyDescent="0.2">
      <c r="A38" s="102"/>
      <c r="B38" s="107" t="s">
        <v>104</v>
      </c>
      <c r="D38" s="12"/>
      <c r="E38" s="12"/>
      <c r="G38" s="69">
        <v>893</v>
      </c>
      <c r="H38" s="69">
        <v>978</v>
      </c>
      <c r="I38" s="69">
        <v>1089</v>
      </c>
      <c r="J38" s="69">
        <v>1146</v>
      </c>
      <c r="K38" s="69">
        <v>1534</v>
      </c>
      <c r="L38" s="69">
        <v>801</v>
      </c>
      <c r="M38" s="69">
        <v>1543</v>
      </c>
      <c r="N38" s="69">
        <v>1748</v>
      </c>
      <c r="O38" s="69">
        <v>3602</v>
      </c>
      <c r="P38" s="69">
        <v>2657</v>
      </c>
    </row>
    <row r="39" spans="1:16" x14ac:dyDescent="0.2">
      <c r="A39" s="102"/>
      <c r="B39" s="107" t="s">
        <v>98</v>
      </c>
      <c r="D39" s="12"/>
      <c r="E39" s="12"/>
      <c r="G39" s="69">
        <v>7394</v>
      </c>
      <c r="H39" s="69">
        <v>8372</v>
      </c>
      <c r="I39" s="69">
        <v>9461</v>
      </c>
      <c r="J39" s="69">
        <v>10607</v>
      </c>
      <c r="K39" s="69">
        <v>12141</v>
      </c>
      <c r="L39" s="69">
        <v>12942</v>
      </c>
      <c r="M39" s="69">
        <v>14485</v>
      </c>
      <c r="N39" s="69">
        <v>16233</v>
      </c>
      <c r="O39" s="69">
        <v>19835</v>
      </c>
      <c r="P39" s="69">
        <v>22492</v>
      </c>
    </row>
    <row r="40" spans="1:16" x14ac:dyDescent="0.2">
      <c r="A40" s="102"/>
      <c r="B40" s="107" t="s">
        <v>99</v>
      </c>
      <c r="D40" s="12"/>
      <c r="E40" s="12"/>
      <c r="G40" s="69">
        <v>6948</v>
      </c>
      <c r="H40" s="69">
        <v>7883</v>
      </c>
      <c r="I40" s="69">
        <v>8917</v>
      </c>
      <c r="J40" s="69">
        <v>10034</v>
      </c>
      <c r="K40" s="69">
        <v>11374</v>
      </c>
      <c r="L40" s="69">
        <v>12542</v>
      </c>
      <c r="M40" s="69">
        <v>13714</v>
      </c>
      <c r="N40" s="69">
        <v>15359</v>
      </c>
      <c r="O40" s="69">
        <v>18034</v>
      </c>
      <c r="P40" s="69">
        <v>21164</v>
      </c>
    </row>
    <row r="41" spans="1:16" s="104" customFormat="1" x14ac:dyDescent="0.2">
      <c r="B41" s="105" t="s">
        <v>100</v>
      </c>
      <c r="G41" s="108">
        <v>9.5500000000000007</v>
      </c>
      <c r="H41" s="108">
        <v>9.36</v>
      </c>
      <c r="I41" s="108">
        <v>9.3000000000000007</v>
      </c>
      <c r="J41" s="108">
        <v>9.19</v>
      </c>
      <c r="K41" s="108">
        <v>9.3699999999999992</v>
      </c>
      <c r="L41" s="108">
        <v>9.2899999999999991</v>
      </c>
      <c r="M41" s="108">
        <v>9.2899999999999991</v>
      </c>
      <c r="N41" s="108">
        <v>9.07</v>
      </c>
      <c r="O41" s="108">
        <v>8.94</v>
      </c>
      <c r="P41" s="108">
        <v>8.9600000000000009</v>
      </c>
    </row>
    <row r="42" spans="1:16" s="104" customFormat="1" x14ac:dyDescent="0.2">
      <c r="B42" s="105" t="s">
        <v>101</v>
      </c>
      <c r="G42" s="109">
        <v>0.08</v>
      </c>
      <c r="H42" s="109">
        <v>0.06</v>
      </c>
      <c r="I42" s="109">
        <v>0.03</v>
      </c>
      <c r="J42" s="109">
        <v>-0.04</v>
      </c>
      <c r="K42" s="109">
        <v>-0.02</v>
      </c>
      <c r="L42" s="109">
        <v>-0.01</v>
      </c>
      <c r="M42" s="109">
        <v>0</v>
      </c>
      <c r="N42" s="109">
        <v>-0.01</v>
      </c>
      <c r="O42" s="109">
        <v>-0.05</v>
      </c>
      <c r="P42" s="109">
        <v>-0.04</v>
      </c>
    </row>
    <row r="43" spans="1:16" s="104" customFormat="1" x14ac:dyDescent="0.2">
      <c r="B43" s="105" t="s">
        <v>102</v>
      </c>
      <c r="G43" s="109">
        <v>0.04</v>
      </c>
      <c r="H43" s="109">
        <v>0.03</v>
      </c>
      <c r="I43" s="109">
        <v>0.05</v>
      </c>
      <c r="J43" s="109">
        <v>0.02</v>
      </c>
      <c r="K43" s="109">
        <v>0.03</v>
      </c>
      <c r="L43" s="109">
        <v>0.05</v>
      </c>
      <c r="M43" s="109">
        <v>0.03</v>
      </c>
      <c r="N43" s="109">
        <v>0</v>
      </c>
      <c r="O43" s="109">
        <v>-0.03</v>
      </c>
      <c r="P43" s="109">
        <v>0.01</v>
      </c>
    </row>
    <row r="44" spans="1:16" x14ac:dyDescent="0.2">
      <c r="B44" s="112"/>
      <c r="G44" s="110"/>
      <c r="H44" s="110"/>
      <c r="I44" s="110"/>
      <c r="J44" s="110"/>
      <c r="K44" s="110"/>
      <c r="L44" s="110"/>
      <c r="M44" s="110"/>
      <c r="N44" s="110"/>
      <c r="O44" s="110"/>
      <c r="P44" s="110"/>
    </row>
    <row r="45" spans="1:16" ht="25.5" customHeight="1" x14ac:dyDescent="0.2">
      <c r="A45" s="102"/>
      <c r="F45" s="113" t="s">
        <v>107</v>
      </c>
      <c r="G45" s="113"/>
      <c r="H45" s="113"/>
      <c r="I45" s="113"/>
      <c r="J45" s="113"/>
      <c r="K45" s="113"/>
      <c r="L45" s="113"/>
      <c r="M45" s="113"/>
      <c r="N45" s="113"/>
      <c r="O45" s="113"/>
      <c r="P45" s="113"/>
    </row>
    <row r="46" spans="1:16" ht="26.25" customHeight="1" x14ac:dyDescent="0.2">
      <c r="B46" s="112"/>
      <c r="F46" s="113" t="s">
        <v>108</v>
      </c>
      <c r="G46" s="113"/>
      <c r="H46" s="113"/>
      <c r="I46" s="113"/>
      <c r="J46" s="113"/>
      <c r="K46" s="113"/>
      <c r="L46" s="113"/>
      <c r="M46" s="113"/>
      <c r="N46" s="113"/>
      <c r="O46" s="113"/>
      <c r="P46" s="113"/>
    </row>
    <row r="47" spans="1:16" x14ac:dyDescent="0.2">
      <c r="B47" s="112"/>
      <c r="G47" s="69"/>
      <c r="H47" s="69"/>
      <c r="I47" s="69"/>
      <c r="J47" s="69"/>
      <c r="K47" s="69"/>
      <c r="L47" s="69"/>
      <c r="M47" s="69"/>
      <c r="N47" s="69"/>
      <c r="O47" s="69"/>
      <c r="P47" s="69"/>
    </row>
    <row r="48" spans="1:16" x14ac:dyDescent="0.2">
      <c r="B48" s="114"/>
      <c r="G48" s="69"/>
      <c r="H48" s="69"/>
      <c r="I48" s="69"/>
      <c r="J48" s="69"/>
      <c r="K48" s="69"/>
      <c r="L48" s="69"/>
      <c r="M48" s="69"/>
      <c r="N48" s="69"/>
      <c r="O48" s="69"/>
      <c r="P48" s="69"/>
    </row>
    <row r="49" s="12" customFormat="1" x14ac:dyDescent="0.2"/>
    <row r="50" s="12" customFormat="1" x14ac:dyDescent="0.2"/>
    <row r="51" s="12" customFormat="1" x14ac:dyDescent="0.2"/>
    <row r="52" s="12" customFormat="1" x14ac:dyDescent="0.2"/>
    <row r="53" s="12" customFormat="1" x14ac:dyDescent="0.2"/>
    <row r="54" s="12" customFormat="1" x14ac:dyDescent="0.2"/>
    <row r="55" s="12" customFormat="1" x14ac:dyDescent="0.2"/>
    <row r="56" s="12" customFormat="1" x14ac:dyDescent="0.2"/>
    <row r="57" s="12" customFormat="1" x14ac:dyDescent="0.2"/>
    <row r="58" s="12" customFormat="1" x14ac:dyDescent="0.2"/>
    <row r="59" s="12" customFormat="1" x14ac:dyDescent="0.2"/>
    <row r="60" s="12" customFormat="1" x14ac:dyDescent="0.2"/>
    <row r="61" s="12" customFormat="1" x14ac:dyDescent="0.2"/>
    <row r="62" s="12" customFormat="1" x14ac:dyDescent="0.2"/>
    <row r="63" s="12" customFormat="1" x14ac:dyDescent="0.2"/>
    <row r="64" s="12" customFormat="1" x14ac:dyDescent="0.2"/>
    <row r="65" s="12" customFormat="1" x14ac:dyDescent="0.2"/>
    <row r="66" s="12" customFormat="1" x14ac:dyDescent="0.2"/>
    <row r="67" s="12" customFormat="1" x14ac:dyDescent="0.2"/>
    <row r="68" s="12" customFormat="1" x14ac:dyDescent="0.2"/>
    <row r="69" s="12" customFormat="1" x14ac:dyDescent="0.2"/>
    <row r="70" s="12" customFormat="1" x14ac:dyDescent="0.2"/>
    <row r="71" s="12" customFormat="1" x14ac:dyDescent="0.2"/>
    <row r="72" s="12" customFormat="1" x14ac:dyDescent="0.2"/>
    <row r="73" s="12" customFormat="1" x14ac:dyDescent="0.2"/>
    <row r="74" s="12" customFormat="1" x14ac:dyDescent="0.2"/>
    <row r="75" s="12" customFormat="1" x14ac:dyDescent="0.2"/>
    <row r="76" s="12" customFormat="1" x14ac:dyDescent="0.2"/>
    <row r="77" s="12" customFormat="1" x14ac:dyDescent="0.2"/>
    <row r="78" s="12" customFormat="1" x14ac:dyDescent="0.2"/>
    <row r="79" s="12" customFormat="1" x14ac:dyDescent="0.2"/>
    <row r="80" s="12" customFormat="1" x14ac:dyDescent="0.2"/>
    <row r="81" s="12" customFormat="1" x14ac:dyDescent="0.2"/>
    <row r="82" s="12" customFormat="1" x14ac:dyDescent="0.2"/>
    <row r="83" s="12" customFormat="1" x14ac:dyDescent="0.2"/>
    <row r="84" s="12" customFormat="1" x14ac:dyDescent="0.2"/>
    <row r="85" s="12" customFormat="1" x14ac:dyDescent="0.2"/>
    <row r="86" s="12" customFormat="1" x14ac:dyDescent="0.2"/>
    <row r="87" s="12" customFormat="1" x14ac:dyDescent="0.2"/>
    <row r="88" s="12" customFormat="1" x14ac:dyDescent="0.2"/>
    <row r="89" s="12" customFormat="1" x14ac:dyDescent="0.2"/>
    <row r="90" s="12" customFormat="1" x14ac:dyDescent="0.2"/>
    <row r="91" s="12" customFormat="1" x14ac:dyDescent="0.2"/>
    <row r="92" s="12" customFormat="1" x14ac:dyDescent="0.2"/>
    <row r="93" s="12" customFormat="1" x14ac:dyDescent="0.2"/>
    <row r="94" s="12" customFormat="1" x14ac:dyDescent="0.2"/>
    <row r="95" s="12" customFormat="1" x14ac:dyDescent="0.2"/>
    <row r="96" s="12" customFormat="1" x14ac:dyDescent="0.2"/>
    <row r="97" s="12" customFormat="1" x14ac:dyDescent="0.2"/>
    <row r="98" s="12" customFormat="1" x14ac:dyDescent="0.2"/>
    <row r="99" s="12" customFormat="1" x14ac:dyDescent="0.2"/>
    <row r="100" s="12" customFormat="1" x14ac:dyDescent="0.2"/>
    <row r="101" s="12" customFormat="1" x14ac:dyDescent="0.2"/>
    <row r="102" s="12" customFormat="1" x14ac:dyDescent="0.2"/>
    <row r="103" s="12" customFormat="1" x14ac:dyDescent="0.2"/>
    <row r="104" s="12" customFormat="1" x14ac:dyDescent="0.2"/>
    <row r="105" s="12" customFormat="1" x14ac:dyDescent="0.2"/>
    <row r="106" s="12" customFormat="1" x14ac:dyDescent="0.2"/>
    <row r="107" s="12" customFormat="1" x14ac:dyDescent="0.2"/>
    <row r="108" s="12" customFormat="1" x14ac:dyDescent="0.2"/>
    <row r="109" s="12" customFormat="1" x14ac:dyDescent="0.2"/>
    <row r="110" s="12" customFormat="1" x14ac:dyDescent="0.2"/>
    <row r="111" s="12" customFormat="1" x14ac:dyDescent="0.2"/>
    <row r="112" s="12" customFormat="1" x14ac:dyDescent="0.2"/>
    <row r="113" s="12" customFormat="1" x14ac:dyDescent="0.2"/>
    <row r="114" s="12" customFormat="1" x14ac:dyDescent="0.2"/>
    <row r="115" s="12" customFormat="1" x14ac:dyDescent="0.2"/>
    <row r="116" s="12" customFormat="1" x14ac:dyDescent="0.2"/>
    <row r="117" s="12" customFormat="1" x14ac:dyDescent="0.2"/>
    <row r="118" s="12" customFormat="1" x14ac:dyDescent="0.2"/>
    <row r="119" s="12" customFormat="1" x14ac:dyDescent="0.2"/>
    <row r="120" s="12" customFormat="1" x14ac:dyDescent="0.2"/>
    <row r="121" s="12" customFormat="1" x14ac:dyDescent="0.2"/>
    <row r="122" s="12" customFormat="1" x14ac:dyDescent="0.2"/>
    <row r="123" s="12" customFormat="1" x14ac:dyDescent="0.2"/>
    <row r="124" s="12" customFormat="1" x14ac:dyDescent="0.2"/>
    <row r="125" s="12" customFormat="1" x14ac:dyDescent="0.2"/>
    <row r="126" s="12" customFormat="1" x14ac:dyDescent="0.2"/>
    <row r="127" s="12" customFormat="1" x14ac:dyDescent="0.2"/>
    <row r="128" s="12" customFormat="1" x14ac:dyDescent="0.2"/>
    <row r="129" s="12" customFormat="1" x14ac:dyDescent="0.2"/>
    <row r="130" s="12" customFormat="1" x14ac:dyDescent="0.2"/>
    <row r="131" s="12" customFormat="1" x14ac:dyDescent="0.2"/>
    <row r="132" s="12" customFormat="1" x14ac:dyDescent="0.2"/>
    <row r="133" s="12" customFormat="1" x14ac:dyDescent="0.2"/>
    <row r="134" s="12" customFormat="1" x14ac:dyDescent="0.2"/>
    <row r="135" s="12" customFormat="1" x14ac:dyDescent="0.2"/>
    <row r="136" s="12" customFormat="1" x14ac:dyDescent="0.2"/>
    <row r="137" s="12" customFormat="1" x14ac:dyDescent="0.2"/>
    <row r="138" s="12" customFormat="1" x14ac:dyDescent="0.2"/>
    <row r="139" s="12" customFormat="1" x14ac:dyDescent="0.2"/>
    <row r="140" s="12" customFormat="1" x14ac:dyDescent="0.2"/>
    <row r="141" s="12" customFormat="1" x14ac:dyDescent="0.2"/>
    <row r="142" s="12" customFormat="1" x14ac:dyDescent="0.2"/>
    <row r="143" s="12" customFormat="1" x14ac:dyDescent="0.2"/>
    <row r="144" s="12" customFormat="1" x14ac:dyDescent="0.2"/>
    <row r="145" s="12" customFormat="1" x14ac:dyDescent="0.2"/>
    <row r="146" s="12" customFormat="1" x14ac:dyDescent="0.2"/>
    <row r="147" s="12" customFormat="1" x14ac:dyDescent="0.2"/>
    <row r="148" s="12" customFormat="1" x14ac:dyDescent="0.2"/>
    <row r="149" s="12" customFormat="1" x14ac:dyDescent="0.2"/>
    <row r="150" s="12" customFormat="1" x14ac:dyDescent="0.2"/>
    <row r="151" s="12" customFormat="1" x14ac:dyDescent="0.2"/>
    <row r="152" s="12" customFormat="1" x14ac:dyDescent="0.2"/>
    <row r="153" s="12" customFormat="1" x14ac:dyDescent="0.2"/>
    <row r="154" s="12" customFormat="1" x14ac:dyDescent="0.2"/>
    <row r="155" s="12" customFormat="1" x14ac:dyDescent="0.2"/>
    <row r="156" s="12" customFormat="1" x14ac:dyDescent="0.2"/>
    <row r="157" s="12" customFormat="1" x14ac:dyDescent="0.2"/>
    <row r="158" s="12" customFormat="1" x14ac:dyDescent="0.2"/>
    <row r="159" s="12" customFormat="1" x14ac:dyDescent="0.2"/>
    <row r="160" s="12" customFormat="1" x14ac:dyDescent="0.2"/>
    <row r="161" s="12" customFormat="1" x14ac:dyDescent="0.2"/>
    <row r="162" s="12" customFormat="1" x14ac:dyDescent="0.2"/>
    <row r="163" s="12" customFormat="1" x14ac:dyDescent="0.2"/>
    <row r="164" s="12" customFormat="1" x14ac:dyDescent="0.2"/>
    <row r="165" s="12" customFormat="1" x14ac:dyDescent="0.2"/>
    <row r="166" s="12" customFormat="1" x14ac:dyDescent="0.2"/>
    <row r="167" s="12" customFormat="1" x14ac:dyDescent="0.2"/>
    <row r="168" s="12" customFormat="1" x14ac:dyDescent="0.2"/>
    <row r="169" s="12" customFormat="1" x14ac:dyDescent="0.2"/>
    <row r="170" s="12" customFormat="1" x14ac:dyDescent="0.2"/>
    <row r="171" s="12" customFormat="1" x14ac:dyDescent="0.2"/>
    <row r="172" s="12" customFormat="1" x14ac:dyDescent="0.2"/>
    <row r="173" s="12" customFormat="1" x14ac:dyDescent="0.2"/>
    <row r="174" s="12" customFormat="1" x14ac:dyDescent="0.2"/>
    <row r="175" s="12" customFormat="1" x14ac:dyDescent="0.2"/>
    <row r="176" s="12" customFormat="1" x14ac:dyDescent="0.2"/>
    <row r="177" s="12" customFormat="1" x14ac:dyDescent="0.2"/>
    <row r="178" s="12" customFormat="1" x14ac:dyDescent="0.2"/>
  </sheetData>
  <mergeCells count="6">
    <mergeCell ref="A4:F4"/>
    <mergeCell ref="G5:J5"/>
    <mergeCell ref="K5:N5"/>
    <mergeCell ref="O5:P5"/>
    <mergeCell ref="F45:P45"/>
    <mergeCell ref="F46:P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ceoDASH</vt:lpstr>
      <vt:lpstr>ceoSubs</vt:lpstr>
      <vt:lpstr>ceoIncomeStatement</vt:lpstr>
      <vt:lpstr>ceoBalanceSheets</vt:lpstr>
      <vt:lpstr>ceoCashFlow</vt:lpstr>
      <vt:lpstr>ceoRevByRegion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dc:creator>
  <cp:lastModifiedBy>Justin</cp:lastModifiedBy>
  <dcterms:created xsi:type="dcterms:W3CDTF">2020-07-31T16:46:31Z</dcterms:created>
  <dcterms:modified xsi:type="dcterms:W3CDTF">2020-08-01T16:26:34Z</dcterms:modified>
</cp:coreProperties>
</file>